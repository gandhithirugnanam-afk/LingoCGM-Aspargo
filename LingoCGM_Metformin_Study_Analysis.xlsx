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udy_Setup" sheetId="2" state="visible" r:id="rId2"/>
    <sheet name="Source_Files" sheetId="3" state="visible" r:id="rId3"/>
    <sheet name="File_Intake" sheetId="4" state="visible" r:id="rId4"/>
    <sheet name="Pasted_Exports" sheetId="5" state="visible" r:id="rId5"/>
    <sheet name="Participant_Metrics" sheetId="6" state="visible" r:id="rId6"/>
    <sheet name="Cohort_Stats" sheetId="7" state="visible" r:id="rId7"/>
    <sheet name="Safety_Q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&quot; pp&quot;"/>
    <numFmt numFmtId="166" formatCode="0.0%"/>
    <numFmt numFmtId="167" formatCode="yyyy-mm-dd"/>
    <numFmt numFmtId="168" formatCode="0.000"/>
    <numFmt numFmtId="169" formatCode="h:mm\ AM/PM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b val="1"/>
      <color rgb="00334155"/>
      <sz val="11"/>
    </font>
    <font>
      <name val="Calibri"/>
      <color rgb="000E1624"/>
      <sz val="11"/>
    </font>
    <font>
      <name val="Calibri"/>
      <b val="1"/>
      <color rgb="00FFFFFF"/>
      <sz val="10"/>
    </font>
    <font>
      <name val="Calibri"/>
      <i val="1"/>
      <color rgb="0064748B"/>
      <sz val="11"/>
    </font>
    <font>
      <name val="Calibri"/>
      <b val="1"/>
      <color rgb="000E1624"/>
      <sz val="11"/>
    </font>
    <font>
      <name val="Calibri"/>
      <b val="1"/>
      <color rgb="00059669"/>
      <sz val="18"/>
    </font>
  </fonts>
  <fills count="9">
    <fill>
      <patternFill/>
    </fill>
    <fill>
      <patternFill patternType="gray125"/>
    </fill>
    <fill>
      <patternFill patternType="solid">
        <fgColor rgb="001D5FDB"/>
      </patternFill>
    </fill>
    <fill>
      <patternFill patternType="solid">
        <fgColor rgb="000E1624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B45309"/>
      </patternFill>
    </fill>
  </fills>
  <borders count="10">
    <border>
      <left/>
      <right/>
      <top/>
      <bottom/>
      <diagonal/>
    </border>
    <border>
      <left style="thin">
        <color rgb="00DDE3ED"/>
      </left>
      <right style="thin">
        <color rgb="00DDE3ED"/>
      </right>
      <top style="thin">
        <color rgb="00DDE3ED"/>
      </top>
      <bottom style="thin">
        <color rgb="00DDE3ED"/>
      </bottom>
    </border>
    <border>
      <left/>
      <right/>
      <top style="thin">
        <color rgb="00DDE3ED"/>
      </top>
      <bottom/>
      <diagonal/>
    </border>
    <border>
      <left/>
      <right style="thin">
        <color rgb="00DDE3ED"/>
      </right>
      <top style="thin">
        <color rgb="00DDE3ED"/>
      </top>
      <bottom/>
      <diagonal/>
    </border>
    <border>
      <left/>
      <right/>
      <top style="thin">
        <color rgb="00DDE3ED"/>
      </top>
      <bottom style="thin">
        <color rgb="00DDE3ED"/>
      </bottom>
      <diagonal/>
    </border>
    <border>
      <left/>
      <right style="thin">
        <color rgb="00DDE3ED"/>
      </right>
      <top style="thin">
        <color rgb="00DDE3ED"/>
      </top>
      <bottom style="thin">
        <color rgb="00DDE3ED"/>
      </bottom>
      <diagonal/>
    </border>
    <border>
      <left style="thin">
        <color rgb="00DDE3ED"/>
      </left>
      <right/>
      <top/>
      <bottom/>
      <diagonal/>
    </border>
    <border>
      <left/>
      <right style="thin">
        <color rgb="00DDE3ED"/>
      </right>
      <top/>
      <bottom/>
      <diagonal/>
    </border>
    <border>
      <left style="thin">
        <color rgb="00DDE3ED"/>
      </left>
      <right/>
      <top/>
      <bottom style="thin">
        <color rgb="00DDE3ED"/>
      </bottom>
      <diagonal/>
    </border>
    <border>
      <left/>
      <right style="thin">
        <color rgb="00DDE3ED"/>
      </right>
      <top/>
      <bottom style="thin">
        <color rgb="00DDE3ED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8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0" borderId="3" pivotButton="0" quotePrefix="0" xfId="0"/>
    <xf numFmtId="164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8" fillId="7" borderId="0" applyAlignment="1" pivotButton="0" quotePrefix="0" xfId="0">
      <alignment horizontal="center" vertical="center"/>
    </xf>
    <xf numFmtId="166" fontId="8" fillId="7" borderId="0" applyAlignment="1" pivotButton="0" quotePrefix="0" xfId="0">
      <alignment horizontal="center" vertical="center"/>
    </xf>
    <xf numFmtId="2" fontId="8" fillId="7" borderId="0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0" fillId="0" borderId="0" pivotButton="0" quotePrefix="0" xfId="0"/>
    <xf numFmtId="166" fontId="0" fillId="0" borderId="0" pivotButton="0" quotePrefix="0" xfId="0"/>
    <xf numFmtId="169" fontId="0" fillId="0" borderId="0" pivotButton="0" quotePrefix="0" xfId="0"/>
    <xf numFmtId="2" fontId="0" fillId="0" borderId="0" pivotButton="0" quotePrefix="0" xfId="0"/>
    <xf numFmtId="164" fontId="4" fillId="7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164" fontId="4" fillId="5" borderId="0" applyAlignment="1" pivotButton="0" quotePrefix="0" xfId="0">
      <alignment horizontal="center" vertical="center" wrapText="1"/>
    </xf>
    <xf numFmtId="168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EF2F2"/>
        </patternFill>
      </fill>
    </dxf>
    <dxf>
      <fill>
        <patternFill patternType="solid">
          <fgColor rgb="00ECFD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Treatment Improvement by Arm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ser>
          <idx val="2"/>
          <order val="2"/>
          <tx>
            <strRef>
              <f>'Dashboard'!D10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'Dashboard'!$D$11:$D$16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Improvement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Files" displayName="SourceFiles" ref="A5:E35" headerRowCount="1">
  <autoFilter ref="A5:E35"/>
  <tableColumns count="5">
    <tableColumn id="1" name="Participant Slot"/>
    <tableColumn id="2" name="Expected File Name"/>
    <tableColumn id="3" name="Treatment Arm"/>
    <tableColumn id="4" name="Participant ID"/>
    <tableColumn id="5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leIntake" displayName="FileIntake" ref="A5:CH35" headerRowCount="1">
  <autoFilter ref="A5:CH35"/>
  <tableColumns count="86">
    <tableColumn id="1" name="Participant ID"/>
    <tableColumn id="2" name="Treatment Arm"/>
    <tableColumn id="3" name="Dose Detail"/>
    <tableColumn id="4" name="Source Workbook"/>
    <tableColumn id="5" name="Metformin Start Date"/>
    <tableColumn id="6" name="Washout Days"/>
    <tableColumn id="7" name="Total Readings"/>
    <tableColumn id="8" name="Total Days"/>
    <tableColumn id="9" name="Off Readings"/>
    <tableColumn id="10" name="On Readings"/>
    <tableColumn id="11" name="Off Days"/>
    <tableColumn id="12" name="On Days"/>
    <tableColumn id="13" name="Avg Glucose Off"/>
    <tableColumn id="14" name="Avg Glucose On"/>
    <tableColumn id="15" name="Avg Glucose Delta"/>
    <tableColumn id="16" name="GMI Off"/>
    <tableColumn id="17" name="GMI On"/>
    <tableColumn id="18" name="GMI Delta"/>
    <tableColumn id="19" name="TIR Off"/>
    <tableColumn id="20" name="TIR On"/>
    <tableColumn id="21" name="TIR Delta"/>
    <tableColumn id="22" name="TBR L2 Off"/>
    <tableColumn id="23" name="TBR L2 On"/>
    <tableColumn id="24" name="TBR L2 Delta"/>
    <tableColumn id="25" name="TBR L1 Off"/>
    <tableColumn id="26" name="TBR L1 On"/>
    <tableColumn id="27" name="TBR L1 Delta"/>
    <tableColumn id="28" name="TAR L1 Off"/>
    <tableColumn id="29" name="TAR L1 On"/>
    <tableColumn id="30" name="TAR L1 Delta"/>
    <tableColumn id="31" name="TAR L2 Off"/>
    <tableColumn id="32" name="TAR L2 On"/>
    <tableColumn id="33" name="TAR L2 Delta"/>
    <tableColumn id="34" name="Daily Hyper AUC Off"/>
    <tableColumn id="35" name="Daily Hyper AUC On"/>
    <tableColumn id="36" name="Daily Hyper AUC Delta"/>
    <tableColumn id="37" name="Daily Hypo AUC Off"/>
    <tableColumn id="38" name="Daily Hypo AUC On"/>
    <tableColumn id="39" name="Daily Hypo AUC Delta"/>
    <tableColumn id="40" name="LBGI Off"/>
    <tableColumn id="41" name="LBGI On"/>
    <tableColumn id="42" name="LBGI Delta"/>
    <tableColumn id="43" name="HBGI Off"/>
    <tableColumn id="44" name="HBGI On"/>
    <tableColumn id="45" name="HBGI Delta"/>
    <tableColumn id="46" name="SD Off"/>
    <tableColumn id="47" name="SD On"/>
    <tableColumn id="48" name="SD Delta"/>
    <tableColumn id="49" name="CV Off"/>
    <tableColumn id="50" name="CV On"/>
    <tableColumn id="51" name="CV Delta"/>
    <tableColumn id="52" name="MODD Off"/>
    <tableColumn id="53" name="MODD On"/>
    <tableColumn id="54" name="MODD Delta"/>
    <tableColumn id="55" name="M Value Off"/>
    <tableColumn id="56" name="M Value On"/>
    <tableColumn id="57" name="M Value Delta"/>
    <tableColumn id="58" name="GRI Off"/>
    <tableColumn id="59" name="GRI On"/>
    <tableColumn id="60" name="GRI Delta"/>
    <tableColumn id="61" name="12-3 AM Off"/>
    <tableColumn id="62" name="12-3 AM On"/>
    <tableColumn id="63" name="12-3 AM Delta"/>
    <tableColumn id="64" name="3-6 AM Off"/>
    <tableColumn id="65" name="3-6 AM On"/>
    <tableColumn id="66" name="3-6 AM Delta"/>
    <tableColumn id="67" name="6-9 AM Off"/>
    <tableColumn id="68" name="6-9 AM On"/>
    <tableColumn id="69" name="6-9 AM Delta"/>
    <tableColumn id="70" name="Median Off"/>
    <tableColumn id="71" name="Median On"/>
    <tableColumn id="72" name="Median Delta"/>
    <tableColumn id="73" name="P90 Off"/>
    <tableColumn id="74" name="P90 On"/>
    <tableColumn id="75" name="P90 Delta"/>
    <tableColumn id="76" name="Days Logged"/>
    <tableColumn id="77" name="Avg Weight Off (lb)"/>
    <tableColumn id="78" name="Avg Weight On (lb)"/>
    <tableColumn id="79" name="Weight Change (lb)"/>
    <tableColumn id="80" name="Weight Change %"/>
    <tableColumn id="81" name="Avg Dose Time (On)"/>
    <tableColumn id="82" name="Dose Time SD (min)"/>
    <tableColumn id="83" name="Dose-Time Days (On)"/>
    <tableColumn id="84" name="Avg Taste (1-5)"/>
    <tableColumn id="85" name="Avg Aftertaste (1-5)"/>
    <tableColumn id="86" name="Taste Days Logg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stedExports" displayName="PastedExports" ref="A5:CH35" headerRowCount="1">
  <autoFilter ref="A5:CH35"/>
  <tableColumns count="86">
    <tableColumn id="1" name="Participant ID"/>
    <tableColumn id="2" name="Treatment Arm"/>
    <tableColumn id="3" name="Dose Detail"/>
    <tableColumn id="4" name="Source Workbook"/>
    <tableColumn id="5" name="Metformin Start Date"/>
    <tableColumn id="6" name="Washout Days"/>
    <tableColumn id="7" name="Total Readings"/>
    <tableColumn id="8" name="Total Days"/>
    <tableColumn id="9" name="Off Readings"/>
    <tableColumn id="10" name="On Readings"/>
    <tableColumn id="11" name="Off Days"/>
    <tableColumn id="12" name="On Days"/>
    <tableColumn id="13" name="Avg Glucose Off"/>
    <tableColumn id="14" name="Avg Glucose On"/>
    <tableColumn id="15" name="Avg Glucose Delta"/>
    <tableColumn id="16" name="GMI Off"/>
    <tableColumn id="17" name="GMI On"/>
    <tableColumn id="18" name="GMI Delta"/>
    <tableColumn id="19" name="TIR Off"/>
    <tableColumn id="20" name="TIR On"/>
    <tableColumn id="21" name="TIR Delta"/>
    <tableColumn id="22" name="TBR L2 Off"/>
    <tableColumn id="23" name="TBR L2 On"/>
    <tableColumn id="24" name="TBR L2 Delta"/>
    <tableColumn id="25" name="TBR L1 Off"/>
    <tableColumn id="26" name="TBR L1 On"/>
    <tableColumn id="27" name="TBR L1 Delta"/>
    <tableColumn id="28" name="TAR L1 Off"/>
    <tableColumn id="29" name="TAR L1 On"/>
    <tableColumn id="30" name="TAR L1 Delta"/>
    <tableColumn id="31" name="TAR L2 Off"/>
    <tableColumn id="32" name="TAR L2 On"/>
    <tableColumn id="33" name="TAR L2 Delta"/>
    <tableColumn id="34" name="Daily Hyper AUC Off"/>
    <tableColumn id="35" name="Daily Hyper AUC On"/>
    <tableColumn id="36" name="Daily Hyper AUC Delta"/>
    <tableColumn id="37" name="Daily Hypo AUC Off"/>
    <tableColumn id="38" name="Daily Hypo AUC On"/>
    <tableColumn id="39" name="Daily Hypo AUC Delta"/>
    <tableColumn id="40" name="LBGI Off"/>
    <tableColumn id="41" name="LBGI On"/>
    <tableColumn id="42" name="LBGI Delta"/>
    <tableColumn id="43" name="HBGI Off"/>
    <tableColumn id="44" name="HBGI On"/>
    <tableColumn id="45" name="HBGI Delta"/>
    <tableColumn id="46" name="SD Off"/>
    <tableColumn id="47" name="SD On"/>
    <tableColumn id="48" name="SD Delta"/>
    <tableColumn id="49" name="CV Off"/>
    <tableColumn id="50" name="CV On"/>
    <tableColumn id="51" name="CV Delta"/>
    <tableColumn id="52" name="MODD Off"/>
    <tableColumn id="53" name="MODD On"/>
    <tableColumn id="54" name="MODD Delta"/>
    <tableColumn id="55" name="M Value Off"/>
    <tableColumn id="56" name="M Value On"/>
    <tableColumn id="57" name="M Value Delta"/>
    <tableColumn id="58" name="GRI Off"/>
    <tableColumn id="59" name="GRI On"/>
    <tableColumn id="60" name="GRI Delta"/>
    <tableColumn id="61" name="12-3 AM Off"/>
    <tableColumn id="62" name="12-3 AM On"/>
    <tableColumn id="63" name="12-3 AM Delta"/>
    <tableColumn id="64" name="3-6 AM Off"/>
    <tableColumn id="65" name="3-6 AM On"/>
    <tableColumn id="66" name="3-6 AM Delta"/>
    <tableColumn id="67" name="6-9 AM Off"/>
    <tableColumn id="68" name="6-9 AM On"/>
    <tableColumn id="69" name="6-9 AM Delta"/>
    <tableColumn id="70" name="Median Off"/>
    <tableColumn id="71" name="Median On"/>
    <tableColumn id="72" name="Median Delta"/>
    <tableColumn id="73" name="P90 Off"/>
    <tableColumn id="74" name="P90 On"/>
    <tableColumn id="75" name="P90 Delta"/>
    <tableColumn id="76" name="Days Logged"/>
    <tableColumn id="77" name="Avg Weight Off (lb)"/>
    <tableColumn id="78" name="Avg Weight On (lb)"/>
    <tableColumn id="79" name="Weight Change (lb)"/>
    <tableColumn id="80" name="Weight Change %"/>
    <tableColumn id="81" name="Avg Dose Time (On)"/>
    <tableColumn id="82" name="Dose Time SD (min)"/>
    <tableColumn id="83" name="Dose-Time Days (On)"/>
    <tableColumn id="84" name="Avg Taste (1-5)"/>
    <tableColumn id="85" name="Avg Aftertaste (1-5)"/>
    <tableColumn id="86" name="Taste Days Logg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rticipantMetrics" displayName="ParticipantMetrics" ref="A5:CY35" headerRowCount="1">
  <autoFilter ref="A5:CY35"/>
  <tableColumns count="103">
    <tableColumn id="1" name="Participant ID"/>
    <tableColumn id="2" name="Treatment Arm"/>
    <tableColumn id="3" name="Dose Detail"/>
    <tableColumn id="4" name="Source Workbook"/>
    <tableColumn id="5" name="Metformin Start Date"/>
    <tableColumn id="6" name="Washout Days"/>
    <tableColumn id="7" name="Total Readings"/>
    <tableColumn id="8" name="Total Days"/>
    <tableColumn id="9" name="Off Readings"/>
    <tableColumn id="10" name="On Readings"/>
    <tableColumn id="11" name="Off Days"/>
    <tableColumn id="12" name="On Days"/>
    <tableColumn id="13" name="Avg Glucose Off"/>
    <tableColumn id="14" name="Avg Glucose On"/>
    <tableColumn id="15" name="Avg Glucose Delta"/>
    <tableColumn id="16" name="GMI Off"/>
    <tableColumn id="17" name="GMI On"/>
    <tableColumn id="18" name="GMI Delta"/>
    <tableColumn id="19" name="TIR Off"/>
    <tableColumn id="20" name="TIR On"/>
    <tableColumn id="21" name="TIR Delta"/>
    <tableColumn id="22" name="TBR L2 Off"/>
    <tableColumn id="23" name="TBR L2 On"/>
    <tableColumn id="24" name="TBR L2 Delta"/>
    <tableColumn id="25" name="TBR L1 Off"/>
    <tableColumn id="26" name="TBR L1 On"/>
    <tableColumn id="27" name="TBR L1 Delta"/>
    <tableColumn id="28" name="TAR L1 Off"/>
    <tableColumn id="29" name="TAR L1 On"/>
    <tableColumn id="30" name="TAR L1 Delta"/>
    <tableColumn id="31" name="TAR L2 Off"/>
    <tableColumn id="32" name="TAR L2 On"/>
    <tableColumn id="33" name="TAR L2 Delta"/>
    <tableColumn id="34" name="Daily Hyper AUC Off"/>
    <tableColumn id="35" name="Daily Hyper AUC On"/>
    <tableColumn id="36" name="Daily Hyper AUC Delta"/>
    <tableColumn id="37" name="Daily Hypo AUC Off"/>
    <tableColumn id="38" name="Daily Hypo AUC On"/>
    <tableColumn id="39" name="Daily Hypo AUC Delta"/>
    <tableColumn id="40" name="LBGI Off"/>
    <tableColumn id="41" name="LBGI On"/>
    <tableColumn id="42" name="LBGI Delta"/>
    <tableColumn id="43" name="HBGI Off"/>
    <tableColumn id="44" name="HBGI On"/>
    <tableColumn id="45" name="HBGI Delta"/>
    <tableColumn id="46" name="SD Off"/>
    <tableColumn id="47" name="SD On"/>
    <tableColumn id="48" name="SD Delta"/>
    <tableColumn id="49" name="CV Off"/>
    <tableColumn id="50" name="CV On"/>
    <tableColumn id="51" name="CV Delta"/>
    <tableColumn id="52" name="MODD Off"/>
    <tableColumn id="53" name="MODD On"/>
    <tableColumn id="54" name="MODD Delta"/>
    <tableColumn id="55" name="M Value Off"/>
    <tableColumn id="56" name="M Value On"/>
    <tableColumn id="57" name="M Value Delta"/>
    <tableColumn id="58" name="GRI Off"/>
    <tableColumn id="59" name="GRI On"/>
    <tableColumn id="60" name="GRI Delta"/>
    <tableColumn id="61" name="12-3 AM Off"/>
    <tableColumn id="62" name="12-3 AM On"/>
    <tableColumn id="63" name="12-3 AM Delta"/>
    <tableColumn id="64" name="3-6 AM Off"/>
    <tableColumn id="65" name="3-6 AM On"/>
    <tableColumn id="66" name="3-6 AM Delta"/>
    <tableColumn id="67" name="6-9 AM Off"/>
    <tableColumn id="68" name="6-9 AM On"/>
    <tableColumn id="69" name="6-9 AM Delta"/>
    <tableColumn id="70" name="Median Off"/>
    <tableColumn id="71" name="Median On"/>
    <tableColumn id="72" name="Median Delta"/>
    <tableColumn id="73" name="P90 Off"/>
    <tableColumn id="74" name="P90 On"/>
    <tableColumn id="75" name="P90 Delta"/>
    <tableColumn id="76" name="Include Flag"/>
    <tableColumn id="77" name="QC Notes"/>
    <tableColumn id="78" name="Mean Glucose Reduction"/>
    <tableColumn id="79" name="Mean Glucose Reduction %"/>
    <tableColumn id="80" name="GMI Reduction"/>
    <tableColumn id="81" name="TIR Gain"/>
    <tableColumn id="82" name="Hyper AUC Reduction"/>
    <tableColumn id="83" name="Hyper AUC Reduction %"/>
    <tableColumn id="84" name="HBGI Reduction"/>
    <tableColumn id="85" name="Fasting 6-9 AM Reduction"/>
    <tableColumn id="86" name="Overnight 12-3 AM Reduction"/>
    <tableColumn id="87" name="Dawn 3-6 AM Reduction"/>
    <tableColumn id="88" name="GRI Reduction"/>
    <tableColumn id="89" name="M Value Reduction"/>
    <tableColumn id="90" name="No Hypo Harm Flag"/>
    <tableColumn id="91" name="Responder Flag"/>
    <tableColumn id="92" name="Composite Efficacy Score"/>
    <tableColumn id="93" name="Days Logged"/>
    <tableColumn id="94" name="Avg Weight Off (lb)"/>
    <tableColumn id="95" name="Avg Weight On (lb)"/>
    <tableColumn id="96" name="Weight Change (lb)"/>
    <tableColumn id="97" name="Weight Change %"/>
    <tableColumn id="98" name="Avg Dose Time (On)"/>
    <tableColumn id="99" name="Dose Time SD (min)"/>
    <tableColumn id="100" name="Dose-Time Days (On)"/>
    <tableColumn id="101" name="Avg Taste (1-5)"/>
    <tableColumn id="102" name="Avg Aftertaste (1-5)"/>
    <tableColumn id="103" name="Taste Days Logged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CohortStats" displayName="CohortStats" ref="A4:P19" headerRowCount="1">
  <autoFilter ref="A4:P19"/>
  <tableColumns count="16">
    <tableColumn id="1" name="Metric"/>
    <tableColumn id="2" name="Unit"/>
    <tableColumn id="3" name="Investor Use"/>
    <tableColumn id="4" name="N"/>
    <tableColumn id="5" name="Mean"/>
    <tableColumn id="6" name="SD"/>
    <tableColumn id="7" name="SE"/>
    <tableColumn id="8" name="95% CI Low"/>
    <tableColumn id="9" name="95% CI High"/>
    <tableColumn id="10" name="p-value vs 0"/>
    <tableColumn id="11" name="Once N"/>
    <tableColumn id="12" name="Once Mean"/>
    <tableColumn id="13" name="Twice N"/>
    <tableColumn id="14" name="Twice Mean"/>
    <tableColumn id="15" name="Twice - Once"/>
    <tableColumn id="16" name="Between-arm 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afetyQA" displayName="SafetyQA" ref="A5:H35" headerRowCount="1">
  <autoFilter ref="A5:H35"/>
  <tableColumns count="8">
    <tableColumn id="1" name="Participant ID"/>
    <tableColumn id="2" name="Arm"/>
    <tableColumn id="3" name="Include"/>
    <tableColumn id="4" name="QC Notes"/>
    <tableColumn id="5" name="TBR L2 Delta"/>
    <tableColumn id="6" name="Daily Hypo AUC Delta"/>
    <tableColumn id="7" name="No Hypo Harm"/>
    <tableColumn id="8" name="Responde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" t="inlineStr">
        <is>
          <t>Metformin CGM Efficacy Dashboard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2" t="inlineStr">
        <is>
          <t>Investor-facing readout updates when participant exports are linked or pasted.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4">
      <c r="A4" s="5" t="inlineStr">
        <is>
          <t>Included Participants</t>
        </is>
      </c>
      <c r="B4" s="4" t="n"/>
      <c r="C4" s="5" t="inlineStr">
        <is>
          <t>Mean Glucose Reduction</t>
        </is>
      </c>
      <c r="D4" s="4" t="n"/>
      <c r="E4" s="5" t="inlineStr">
        <is>
          <t>TIR Gain</t>
        </is>
      </c>
      <c r="F4" s="4" t="n"/>
      <c r="G4" s="5" t="inlineStr">
        <is>
          <t>Hyper AUC Reduction</t>
        </is>
      </c>
      <c r="H4" s="4" t="n"/>
      <c r="I4" s="5" t="inlineStr">
        <is>
          <t>Responder Rate</t>
        </is>
      </c>
      <c r="J4" s="4" t="n"/>
      <c r="K4" s="5" t="inlineStr">
        <is>
          <t>Composite Score</t>
        </is>
      </c>
      <c r="L4" s="4" t="n"/>
    </row>
    <row r="5">
      <c r="A5" s="6">
        <f>Cohort_Stats!D5</f>
        <v/>
      </c>
      <c r="B5" s="40" t="n"/>
      <c r="C5" s="41">
        <f>Cohort_Stats!E5</f>
        <v/>
      </c>
      <c r="D5" s="40" t="n"/>
      <c r="E5" s="42">
        <f>Cohort_Stats!E6</f>
        <v/>
      </c>
      <c r="F5" s="40" t="n"/>
      <c r="G5" s="43">
        <f>Cohort_Stats!E7</f>
        <v/>
      </c>
      <c r="H5" s="40" t="n"/>
      <c r="I5" s="43">
        <f>IFERROR(AVERAGE(FILTER('Participant_Metrics'!$CM$6:$CM$35,'Participant_Metrics'!$BX$6:$BX$35=1)),"")</f>
        <v/>
      </c>
      <c r="J5" s="40" t="n"/>
      <c r="K5" s="41">
        <f>Cohort_Stats!E15</f>
        <v/>
      </c>
      <c r="L5" s="40" t="n"/>
    </row>
    <row r="6">
      <c r="A6" s="44" t="n"/>
      <c r="B6" s="45" t="n"/>
      <c r="C6" s="44" t="n"/>
      <c r="D6" s="45" t="n"/>
      <c r="E6" s="44" t="n"/>
      <c r="F6" s="45" t="n"/>
      <c r="G6" s="44" t="n"/>
      <c r="H6" s="45" t="n"/>
      <c r="I6" s="44" t="n"/>
      <c r="J6" s="45" t="n"/>
      <c r="K6" s="44" t="n"/>
      <c r="L6" s="45" t="n"/>
    </row>
    <row r="9" ht="22" customHeight="1">
      <c r="A9" s="10" t="inlineStr">
        <is>
          <t>Chart Data</t>
        </is>
      </c>
      <c r="B9" s="3" t="n"/>
      <c r="C9" s="3" t="n"/>
      <c r="D9" s="3" t="n"/>
      <c r="E9" s="3" t="n"/>
      <c r="F9" s="3" t="n"/>
      <c r="G9" s="4" t="n"/>
    </row>
    <row r="10">
      <c r="A10" s="11" t="inlineStr">
        <is>
          <t>Metric</t>
        </is>
      </c>
      <c r="B10" s="11" t="inlineStr">
        <is>
          <t>All Active</t>
        </is>
      </c>
      <c r="C10" s="11" t="inlineStr">
        <is>
          <t>Once Daily</t>
        </is>
      </c>
      <c r="D10" s="11" t="inlineStr">
        <is>
          <t>Twice Daily</t>
        </is>
      </c>
    </row>
    <row r="11">
      <c r="A11" s="46" t="inlineStr">
        <is>
          <t>Mean Glucose Reduction</t>
        </is>
      </c>
      <c r="B11" s="47">
        <f>Cohort_Stats!E5</f>
        <v/>
      </c>
      <c r="C11" s="47">
        <f>Cohort_Stats!L5</f>
        <v/>
      </c>
      <c r="D11" s="47">
        <f>Cohort_Stats!N5</f>
        <v/>
      </c>
    </row>
    <row r="12">
      <c r="A12" s="46" t="inlineStr">
        <is>
          <t>TIR Gain</t>
        </is>
      </c>
      <c r="B12" s="47">
        <f>Cohort_Stats!E6</f>
        <v/>
      </c>
      <c r="C12" s="47">
        <f>Cohort_Stats!L6</f>
        <v/>
      </c>
      <c r="D12" s="47">
        <f>Cohort_Stats!N6</f>
        <v/>
      </c>
    </row>
    <row r="13">
      <c r="A13" s="46" t="inlineStr">
        <is>
          <t>Hyper AUC Reduction %</t>
        </is>
      </c>
      <c r="B13" s="47">
        <f>Cohort_Stats!E7</f>
        <v/>
      </c>
      <c r="C13" s="47">
        <f>Cohort_Stats!L7</f>
        <v/>
      </c>
      <c r="D13" s="47">
        <f>Cohort_Stats!N7</f>
        <v/>
      </c>
    </row>
    <row r="14">
      <c r="A14" s="46" t="inlineStr">
        <is>
          <t>Fasting 6-9 AM Reduction</t>
        </is>
      </c>
      <c r="B14" s="47">
        <f>Cohort_Stats!E10</f>
        <v/>
      </c>
      <c r="C14" s="47">
        <f>Cohort_Stats!L10</f>
        <v/>
      </c>
      <c r="D14" s="47">
        <f>Cohort_Stats!N10</f>
        <v/>
      </c>
    </row>
    <row r="15">
      <c r="A15" s="46" t="inlineStr">
        <is>
          <t>GRI Reduction</t>
        </is>
      </c>
      <c r="B15" s="47">
        <f>Cohort_Stats!E13</f>
        <v/>
      </c>
      <c r="C15" s="47">
        <f>Cohort_Stats!L13</f>
        <v/>
      </c>
      <c r="D15" s="47">
        <f>Cohort_Stats!N13</f>
        <v/>
      </c>
    </row>
    <row r="16">
      <c r="A16" s="46" t="inlineStr">
        <is>
          <t>Composite Efficacy Score</t>
        </is>
      </c>
      <c r="B16" s="47">
        <f>Cohort_Stats!E15</f>
        <v/>
      </c>
      <c r="C16" s="47">
        <f>Cohort_Stats!L15</f>
        <v/>
      </c>
      <c r="D16" s="47">
        <f>Cohort_Stats!N15</f>
        <v/>
      </c>
    </row>
    <row r="18">
      <c r="A18" s="48" t="inlineStr">
        <is>
          <t>Tolerability &amp; Weight (self-reported daily log)</t>
        </is>
      </c>
    </row>
    <row r="19">
      <c r="A19" s="49" t="inlineStr">
        <is>
          <t>Weight Change (lb)</t>
        </is>
      </c>
      <c r="C19" s="49" t="inlineStr">
        <is>
          <t>Weight Change %</t>
        </is>
      </c>
      <c r="E19" s="49" t="inlineStr">
        <is>
          <t>Avg Taste (1-5)</t>
        </is>
      </c>
      <c r="G19" s="49" t="inlineStr">
        <is>
          <t>Avg Aftertaste (1-5)</t>
        </is>
      </c>
      <c r="I19" s="49" t="inlineStr">
        <is>
          <t>Dose-Time SD (min)</t>
        </is>
      </c>
    </row>
    <row r="20">
      <c r="A20" s="50">
        <f>Cohort_Stats!E16</f>
        <v/>
      </c>
      <c r="C20" s="51">
        <f>Cohort_Stats!E17</f>
        <v/>
      </c>
      <c r="E20" s="52">
        <f>Cohort_Stats!E18</f>
        <v/>
      </c>
      <c r="G20" s="52">
        <f>Cohort_Stats!E19</f>
        <v/>
      </c>
      <c r="I20" s="50">
        <f>IFERROR(AVERAGE(FILTER('Participant_Metrics'!$CU$6:$CU$35,'Participant_Metrics'!$BX$6:$BX$35=1)),"")</f>
        <v/>
      </c>
    </row>
    <row r="21"/>
    <row r="30" ht="22" customHeight="1">
      <c r="A30" s="14" t="inlineStr">
        <is>
          <t>Interpretation Guardrails</t>
        </is>
      </c>
      <c r="B30" s="3" t="n"/>
      <c r="C30" s="3" t="n"/>
      <c r="D30" s="3" t="n"/>
      <c r="E30" s="3" t="n"/>
      <c r="F30" s="3" t="n"/>
      <c r="G30" s="3" t="n"/>
      <c r="H30" s="4" t="n"/>
    </row>
    <row r="31" ht="34" customHeight="1">
      <c r="A31" s="15" t="inlineStr">
        <is>
          <t>Best investor signal: consistent within-participant reductions in mean glucose, hyperglycemic AUC, HBGI/GRI, and fasting or dawn blocks.</t>
        </is>
      </c>
      <c r="B31" s="3" t="n"/>
      <c r="C31" s="3" t="n"/>
      <c r="D31" s="3" t="n"/>
      <c r="E31" s="3" t="n"/>
      <c r="F31" s="3" t="n"/>
      <c r="G31" s="3" t="n"/>
      <c r="H31" s="4" t="n"/>
    </row>
    <row r="32" ht="34" customHeight="1">
      <c r="A32" s="15" t="inlineStr">
        <is>
          <t>Dose response: Twice Daily should show larger average improvement than Once Daily without increasing hypoglycemia burden.</t>
        </is>
      </c>
      <c r="B32" s="3" t="n"/>
      <c r="C32" s="3" t="n"/>
      <c r="D32" s="3" t="n"/>
      <c r="E32" s="3" t="n"/>
      <c r="F32" s="3" t="n"/>
      <c r="G32" s="3" t="n"/>
      <c r="H32" s="4" t="n"/>
    </row>
    <row r="33" ht="34" customHeight="1">
      <c r="A33" s="15" t="inlineStr">
        <is>
          <t>Do not overclaim: this workbook supports an exploratory efficacy story; final claims need protocol lock, adherence data, and statistical review.</t>
        </is>
      </c>
      <c r="B33" s="3" t="n"/>
      <c r="C33" s="3" t="n"/>
      <c r="D33" s="3" t="n"/>
      <c r="E33" s="3" t="n"/>
      <c r="F33" s="3" t="n"/>
      <c r="G33" s="3" t="n"/>
      <c r="H33" s="4" t="n"/>
    </row>
  </sheetData>
  <mergeCells count="30">
    <mergeCell ref="A30:H30"/>
    <mergeCell ref="A5:B6"/>
    <mergeCell ref="G5:H6"/>
    <mergeCell ref="G20:H21"/>
    <mergeCell ref="I5:J6"/>
    <mergeCell ref="C4:D4"/>
    <mergeCell ref="E4:F4"/>
    <mergeCell ref="A20:B21"/>
    <mergeCell ref="A9:G9"/>
    <mergeCell ref="I20:J21"/>
    <mergeCell ref="E19:F19"/>
    <mergeCell ref="G19:H19"/>
    <mergeCell ref="A1:J1"/>
    <mergeCell ref="C5:D6"/>
    <mergeCell ref="A33:H33"/>
    <mergeCell ref="E5:F6"/>
    <mergeCell ref="K5:L6"/>
    <mergeCell ref="A32:H32"/>
    <mergeCell ref="A4:B4"/>
    <mergeCell ref="G4:H4"/>
    <mergeCell ref="I4:J4"/>
    <mergeCell ref="C20:D21"/>
    <mergeCell ref="E20:F21"/>
    <mergeCell ref="A18:J18"/>
    <mergeCell ref="A19:B19"/>
    <mergeCell ref="C19:D19"/>
    <mergeCell ref="I19:J19"/>
    <mergeCell ref="A2:J2"/>
    <mergeCell ref="K4:L4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90" customWidth="1" min="2" max="2"/>
    <col width="28" customWidth="1" min="3" max="3"/>
  </cols>
  <sheetData>
    <row r="1" ht="30" customHeight="1">
      <c r="A1" s="1" t="inlineStr">
        <is>
          <t>Metformin CGM Study - Setup and Assumptions</t>
        </is>
      </c>
      <c r="B1" s="3" t="n"/>
      <c r="C1" s="3" t="n"/>
      <c r="D1" s="3" t="n"/>
      <c r="E1" s="3" t="n"/>
      <c r="F1" s="4" t="n"/>
    </row>
    <row r="2">
      <c r="A2" s="16" t="inlineStr">
        <is>
          <t>Topic</t>
        </is>
      </c>
      <c r="B2" s="16" t="inlineStr">
        <is>
          <t>Current workbook assumption</t>
        </is>
      </c>
    </row>
    <row r="3" ht="42" customHeight="1">
      <c r="A3" s="17" t="inlineStr">
        <is>
          <t>Study design</t>
        </is>
      </c>
      <c r="B3" s="15" t="inlineStr">
        <is>
          <t>Within-participant baseline: week 1 off metformin, week 2 onward on assigned metformin regimen.</t>
        </is>
      </c>
    </row>
    <row r="4" ht="42" customHeight="1">
      <c r="A4" s="17" t="inlineStr">
        <is>
          <t>Dose arms</t>
        </is>
      </c>
      <c r="B4" s="15" t="inlineStr">
        <is>
          <t>Once Daily and Twice Daily. Fill each participant workbook INPUT!I4 before export.</t>
        </is>
      </c>
    </row>
    <row r="5" ht="42" customHeight="1">
      <c r="A5" s="17" t="inlineStr">
        <is>
          <t>Primary efficacy endpoint</t>
        </is>
      </c>
      <c r="B5" s="15" t="inlineStr">
        <is>
          <t>Mean Glucose Reduction and Daily Hyper AUC Reduction from Off Meds to On Meds.</t>
        </is>
      </c>
    </row>
    <row r="6" ht="42" customHeight="1">
      <c r="A6" s="17" t="inlineStr">
        <is>
          <t>Secondary endpoints</t>
        </is>
      </c>
      <c r="B6" s="15" t="inlineStr">
        <is>
          <t>TIR Gain, GMI Reduction, HBGI Reduction, GRI Reduction, fasting/dawn block reductions, responder rate.</t>
        </is>
      </c>
    </row>
    <row r="7" ht="42" customHeight="1">
      <c r="A7" s="17" t="inlineStr">
        <is>
          <t>Safety watch</t>
        </is>
      </c>
      <c r="B7" s="15" t="inlineStr">
        <is>
          <t>No increase in hypoglycemic AUC or time below range. Review participants with increased hypo burden.</t>
        </is>
      </c>
    </row>
    <row r="8" ht="42" customHeight="1">
      <c r="A8" s="17" t="inlineStr">
        <is>
          <t>File intake</t>
        </is>
      </c>
      <c r="B8" s="15" t="inlineStr">
        <is>
          <t>Automatic links expect P001_LingoCGM_CGM_Report_FIXED.xlsx through P030_LingoCGM_CGM_Report_FIXED.xlsx in the same folder as this workbook.</t>
        </is>
      </c>
    </row>
    <row r="9" ht="42" customHeight="1">
      <c r="A9" s="17" t="inlineStr">
        <is>
          <t>Manual fallback</t>
        </is>
      </c>
      <c r="B9" s="15" t="inlineStr">
        <is>
          <t>Open each participant workbook, copy Study Export row 3, and paste values into Pasted_Exports rows 6-35.</t>
        </is>
      </c>
    </row>
    <row r="12" ht="22" customHeight="1">
      <c r="A12" s="10" t="inlineStr">
        <is>
          <t>Editable thresholds</t>
        </is>
      </c>
      <c r="B12" s="3" t="n"/>
      <c r="C12" s="3" t="n"/>
      <c r="D12" s="4" t="n"/>
    </row>
    <row r="13">
      <c r="A13" s="16" t="inlineStr">
        <is>
          <t>Threshold</t>
        </is>
      </c>
      <c r="B13" s="16" t="inlineStr">
        <is>
          <t>Value</t>
        </is>
      </c>
      <c r="C13" s="16" t="inlineStr">
        <is>
          <t>Unit / note</t>
        </is>
      </c>
    </row>
    <row r="14">
      <c r="A14" s="18" t="inlineStr">
        <is>
          <t>Minimum Off Days</t>
        </is>
      </c>
      <c r="B14" s="19" t="n">
        <v>5</v>
      </c>
      <c r="C14" s="18" t="inlineStr">
        <is>
          <t>days</t>
        </is>
      </c>
    </row>
    <row r="15">
      <c r="A15" s="18" t="inlineStr">
        <is>
          <t>Minimum On Days</t>
        </is>
      </c>
      <c r="B15" s="19" t="n">
        <v>7</v>
      </c>
      <c r="C15" s="18" t="inlineStr">
        <is>
          <t>days</t>
        </is>
      </c>
    </row>
    <row r="16">
      <c r="A16" s="18" t="inlineStr">
        <is>
          <t>Mean glucose responder threshold</t>
        </is>
      </c>
      <c r="B16" s="19" t="n">
        <v>10</v>
      </c>
      <c r="C16" s="18" t="inlineStr">
        <is>
          <t>mg/dL reduction</t>
        </is>
      </c>
    </row>
    <row r="17">
      <c r="A17" s="18" t="inlineStr">
        <is>
          <t>TIR responder threshold</t>
        </is>
      </c>
      <c r="B17" s="19" t="n">
        <v>5</v>
      </c>
      <c r="C17" s="18" t="inlineStr">
        <is>
          <t>percentage point gain</t>
        </is>
      </c>
    </row>
    <row r="18">
      <c r="A18" s="18" t="inlineStr">
        <is>
          <t>Hyper AUC responder threshold</t>
        </is>
      </c>
      <c r="B18" s="53" t="n">
        <v>0.2</v>
      </c>
      <c r="C18" s="18" t="inlineStr">
        <is>
          <t>fractional reduction</t>
        </is>
      </c>
    </row>
    <row r="19">
      <c r="A19" s="18" t="inlineStr">
        <is>
          <t>Hypo AUC tolerance</t>
        </is>
      </c>
      <c r="B19" s="19" t="n">
        <v>0</v>
      </c>
      <c r="C19" s="18" t="inlineStr">
        <is>
          <t>mg/dL-hr/day increase allowed</t>
        </is>
      </c>
    </row>
    <row r="20">
      <c r="A20" s="18" t="inlineStr">
        <is>
          <t>Alpha</t>
        </is>
      </c>
      <c r="B20" s="53" t="n">
        <v>0.05</v>
      </c>
      <c r="C20" s="18" t="inlineStr">
        <is>
          <t>two-sided</t>
        </is>
      </c>
    </row>
    <row r="21">
      <c r="A21" s="18" t="inlineStr">
        <is>
          <t>Power planning target</t>
        </is>
      </c>
      <c r="B21" s="53" t="n">
        <v>0.8</v>
      </c>
      <c r="C21" s="18" t="inlineStr">
        <is>
          <t>fraction</t>
        </is>
      </c>
    </row>
    <row r="22">
      <c r="A22" s="18" t="inlineStr">
        <is>
          <t>Expected paired SD of mean-glucose change</t>
        </is>
      </c>
      <c r="B22" s="19" t="n">
        <v>18</v>
      </c>
      <c r="C22" s="18" t="inlineStr">
        <is>
          <t>mg/dL</t>
        </is>
      </c>
    </row>
    <row r="23">
      <c r="A23" s="18" t="inlineStr">
        <is>
          <t>Planned participants</t>
        </is>
      </c>
      <c r="B23" s="19" t="n">
        <v>30</v>
      </c>
      <c r="C23" s="18" t="inlineStr">
        <is>
          <t>count</t>
        </is>
      </c>
    </row>
    <row r="26" ht="22" customHeight="1">
      <c r="A26" s="10" t="inlineStr">
        <is>
          <t>Quick power sanity check</t>
        </is>
      </c>
      <c r="B26" s="3" t="n"/>
      <c r="C26" s="3" t="n"/>
      <c r="D26" s="4" t="n"/>
    </row>
    <row r="27">
      <c r="A27" s="16" t="inlineStr">
        <is>
          <t>Planning calculation</t>
        </is>
      </c>
      <c r="B27" s="16" t="inlineStr">
        <is>
          <t>Value</t>
        </is>
      </c>
      <c r="C27" s="16" t="inlineStr">
        <is>
          <t>Note</t>
        </is>
      </c>
    </row>
    <row r="28">
      <c r="A28" s="18" t="inlineStr">
        <is>
          <t>Approx. detectable paired mean-glucose reduction</t>
        </is>
      </c>
      <c r="B28" s="47">
        <f>IFERROR((NORM.S.INV(1-$B$20/2)+NORM.S.INV($B$21))*$B$22/SQRT($B$23),"")</f>
        <v/>
      </c>
      <c r="C28" s="18" t="inlineStr">
        <is>
          <t>mg/dL, normal approximation</t>
        </is>
      </c>
    </row>
    <row r="29">
      <c r="A29" s="18" t="inlineStr">
        <is>
          <t>Participants needed for 10 mg/dL paired reduction</t>
        </is>
      </c>
      <c r="B29" s="47">
        <f>IFERROR(ROUNDUP(((NORM.S.INV(1-$B$20/2)+NORM.S.INV($B$21))*$B$22/$B$16)^2,0),"")</f>
        <v/>
      </c>
      <c r="C29" s="18" t="inlineStr">
        <is>
          <t>using responder threshold as effect</t>
        </is>
      </c>
    </row>
  </sheetData>
  <mergeCells count="3">
    <mergeCell ref="A12:D12"/>
    <mergeCell ref="A1:F1"/>
    <mergeCell ref="A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20" customWidth="1" min="4" max="4"/>
    <col width="24" customWidth="1" min="5" max="5"/>
  </cols>
  <sheetData>
    <row r="1" ht="30" customHeight="1">
      <c r="A1" s="1" t="inlineStr">
        <is>
          <t>Expected Participant Source Files</t>
        </is>
      </c>
      <c r="B1" s="3" t="n"/>
      <c r="C1" s="3" t="n"/>
      <c r="D1" s="3" t="n"/>
      <c r="E1" s="4" t="n"/>
    </row>
    <row r="3">
      <c r="A3" s="21" t="inlineStr">
        <is>
          <t>Place renamed participant files in the same folder as this workbook for automatic links, or paste Study Export rows into Pasted_Exports.</t>
        </is>
      </c>
      <c r="B3" s="3" t="n"/>
      <c r="C3" s="3" t="n"/>
      <c r="D3" s="3" t="n"/>
      <c r="E3" s="4" t="n"/>
    </row>
    <row r="5">
      <c r="A5" s="22" t="inlineStr">
        <is>
          <t>Participant Slot</t>
        </is>
      </c>
      <c r="B5" s="22" t="inlineStr">
        <is>
          <t>Expected File Name</t>
        </is>
      </c>
      <c r="C5" s="22" t="inlineStr">
        <is>
          <t>Treatment Arm</t>
        </is>
      </c>
      <c r="D5" s="22" t="inlineStr">
        <is>
          <t>Participant ID</t>
        </is>
      </c>
      <c r="E5" s="22" t="inlineStr">
        <is>
          <t>Status</t>
        </is>
      </c>
    </row>
    <row r="6">
      <c r="A6" s="23" t="inlineStr">
        <is>
          <t>P001</t>
        </is>
      </c>
      <c r="B6" s="15" t="inlineStr">
        <is>
          <t>P001_LingoCGM_CGM_Report_FIXED.xlsx</t>
        </is>
      </c>
      <c r="C6" s="23" t="inlineStr"/>
      <c r="D6" s="23">
        <f>'Participant_Metrics'!A6</f>
        <v/>
      </c>
      <c r="E6" s="23">
        <f>IF('Participant_Metrics'!A6&lt;&gt;"","Loaded / pasted","Waiting for file or paste")</f>
        <v/>
      </c>
    </row>
    <row r="7">
      <c r="A7" s="23" t="inlineStr">
        <is>
          <t>P002</t>
        </is>
      </c>
      <c r="B7" s="15" t="inlineStr">
        <is>
          <t>P002_LingoCGM_CGM_Report_FIXED.xlsx</t>
        </is>
      </c>
      <c r="C7" s="23" t="inlineStr"/>
      <c r="D7" s="23">
        <f>'Participant_Metrics'!A7</f>
        <v/>
      </c>
      <c r="E7" s="23">
        <f>IF('Participant_Metrics'!A7&lt;&gt;"","Loaded / pasted","Waiting for file or paste")</f>
        <v/>
      </c>
    </row>
    <row r="8">
      <c r="A8" s="23" t="inlineStr">
        <is>
          <t>P003</t>
        </is>
      </c>
      <c r="B8" s="15" t="inlineStr">
        <is>
          <t>P003_LingoCGM_CGM_Report_FIXED.xlsx</t>
        </is>
      </c>
      <c r="C8" s="23" t="inlineStr"/>
      <c r="D8" s="23">
        <f>'Participant_Metrics'!A8</f>
        <v/>
      </c>
      <c r="E8" s="23">
        <f>IF('Participant_Metrics'!A8&lt;&gt;"","Loaded / pasted","Waiting for file or paste")</f>
        <v/>
      </c>
    </row>
    <row r="9">
      <c r="A9" s="23" t="inlineStr">
        <is>
          <t>P004</t>
        </is>
      </c>
      <c r="B9" s="15" t="inlineStr">
        <is>
          <t>P004_LingoCGM_CGM_Report_FIXED.xlsx</t>
        </is>
      </c>
      <c r="C9" s="23" t="inlineStr"/>
      <c r="D9" s="23">
        <f>'Participant_Metrics'!A9</f>
        <v/>
      </c>
      <c r="E9" s="23">
        <f>IF('Participant_Metrics'!A9&lt;&gt;"","Loaded / pasted","Waiting for file or paste")</f>
        <v/>
      </c>
    </row>
    <row r="10">
      <c r="A10" s="23" t="inlineStr">
        <is>
          <t>P005</t>
        </is>
      </c>
      <c r="B10" s="15" t="inlineStr">
        <is>
          <t>P005_LingoCGM_CGM_Report_FIXED.xlsx</t>
        </is>
      </c>
      <c r="C10" s="23" t="inlineStr"/>
      <c r="D10" s="23">
        <f>'Participant_Metrics'!A10</f>
        <v/>
      </c>
      <c r="E10" s="23">
        <f>IF('Participant_Metrics'!A10&lt;&gt;"","Loaded / pasted","Waiting for file or paste")</f>
        <v/>
      </c>
    </row>
    <row r="11">
      <c r="A11" s="23" t="inlineStr">
        <is>
          <t>P006</t>
        </is>
      </c>
      <c r="B11" s="15" t="inlineStr">
        <is>
          <t>P006_LingoCGM_CGM_Report_FIXED.xlsx</t>
        </is>
      </c>
      <c r="C11" s="23" t="inlineStr"/>
      <c r="D11" s="23">
        <f>'Participant_Metrics'!A11</f>
        <v/>
      </c>
      <c r="E11" s="23">
        <f>IF('Participant_Metrics'!A11&lt;&gt;"","Loaded / pasted","Waiting for file or paste")</f>
        <v/>
      </c>
    </row>
    <row r="12">
      <c r="A12" s="23" t="inlineStr">
        <is>
          <t>P007</t>
        </is>
      </c>
      <c r="B12" s="15" t="inlineStr">
        <is>
          <t>P007_LingoCGM_CGM_Report_FIXED.xlsx</t>
        </is>
      </c>
      <c r="C12" s="23" t="inlineStr"/>
      <c r="D12" s="23">
        <f>'Participant_Metrics'!A12</f>
        <v/>
      </c>
      <c r="E12" s="23">
        <f>IF('Participant_Metrics'!A12&lt;&gt;"","Loaded / pasted","Waiting for file or paste")</f>
        <v/>
      </c>
    </row>
    <row r="13">
      <c r="A13" s="23" t="inlineStr">
        <is>
          <t>P008</t>
        </is>
      </c>
      <c r="B13" s="15" t="inlineStr">
        <is>
          <t>P008_LingoCGM_CGM_Report_FIXED.xlsx</t>
        </is>
      </c>
      <c r="C13" s="23" t="inlineStr"/>
      <c r="D13" s="23">
        <f>'Participant_Metrics'!A13</f>
        <v/>
      </c>
      <c r="E13" s="23">
        <f>IF('Participant_Metrics'!A13&lt;&gt;"","Loaded / pasted","Waiting for file or paste")</f>
        <v/>
      </c>
    </row>
    <row r="14">
      <c r="A14" s="23" t="inlineStr">
        <is>
          <t>P009</t>
        </is>
      </c>
      <c r="B14" s="15" t="inlineStr">
        <is>
          <t>P009_LingoCGM_CGM_Report_FIXED.xlsx</t>
        </is>
      </c>
      <c r="C14" s="23" t="inlineStr"/>
      <c r="D14" s="23">
        <f>'Participant_Metrics'!A14</f>
        <v/>
      </c>
      <c r="E14" s="23">
        <f>IF('Participant_Metrics'!A14&lt;&gt;"","Loaded / pasted","Waiting for file or paste")</f>
        <v/>
      </c>
    </row>
    <row r="15">
      <c r="A15" s="23" t="inlineStr">
        <is>
          <t>P010</t>
        </is>
      </c>
      <c r="B15" s="15" t="inlineStr">
        <is>
          <t>P010_LingoCGM_CGM_Report_FIXED.xlsx</t>
        </is>
      </c>
      <c r="C15" s="23" t="inlineStr"/>
      <c r="D15" s="23">
        <f>'Participant_Metrics'!A15</f>
        <v/>
      </c>
      <c r="E15" s="23">
        <f>IF('Participant_Metrics'!A15&lt;&gt;"","Loaded / pasted","Waiting for file or paste")</f>
        <v/>
      </c>
    </row>
    <row r="16">
      <c r="A16" s="23" t="inlineStr">
        <is>
          <t>P011</t>
        </is>
      </c>
      <c r="B16" s="15" t="inlineStr">
        <is>
          <t>P011_LingoCGM_CGM_Report_FIXED.xlsx</t>
        </is>
      </c>
      <c r="C16" s="23" t="inlineStr"/>
      <c r="D16" s="23">
        <f>'Participant_Metrics'!A16</f>
        <v/>
      </c>
      <c r="E16" s="23">
        <f>IF('Participant_Metrics'!A16&lt;&gt;"","Loaded / pasted","Waiting for file or paste")</f>
        <v/>
      </c>
    </row>
    <row r="17">
      <c r="A17" s="23" t="inlineStr">
        <is>
          <t>P012</t>
        </is>
      </c>
      <c r="B17" s="15" t="inlineStr">
        <is>
          <t>P012_LingoCGM_CGM_Report_FIXED.xlsx</t>
        </is>
      </c>
      <c r="C17" s="23" t="inlineStr"/>
      <c r="D17" s="23">
        <f>'Participant_Metrics'!A17</f>
        <v/>
      </c>
      <c r="E17" s="23">
        <f>IF('Participant_Metrics'!A17&lt;&gt;"","Loaded / pasted","Waiting for file or paste")</f>
        <v/>
      </c>
    </row>
    <row r="18">
      <c r="A18" s="23" t="inlineStr">
        <is>
          <t>P013</t>
        </is>
      </c>
      <c r="B18" s="15" t="inlineStr">
        <is>
          <t>P013_LingoCGM_CGM_Report_FIXED.xlsx</t>
        </is>
      </c>
      <c r="C18" s="23" t="inlineStr"/>
      <c r="D18" s="23">
        <f>'Participant_Metrics'!A18</f>
        <v/>
      </c>
      <c r="E18" s="23">
        <f>IF('Participant_Metrics'!A18&lt;&gt;"","Loaded / pasted","Waiting for file or paste")</f>
        <v/>
      </c>
    </row>
    <row r="19">
      <c r="A19" s="23" t="inlineStr">
        <is>
          <t>P014</t>
        </is>
      </c>
      <c r="B19" s="15" t="inlineStr">
        <is>
          <t>P014_LingoCGM_CGM_Report_FIXED.xlsx</t>
        </is>
      </c>
      <c r="C19" s="23" t="inlineStr"/>
      <c r="D19" s="23">
        <f>'Participant_Metrics'!A19</f>
        <v/>
      </c>
      <c r="E19" s="23">
        <f>IF('Participant_Metrics'!A19&lt;&gt;"","Loaded / pasted","Waiting for file or paste")</f>
        <v/>
      </c>
    </row>
    <row r="20">
      <c r="A20" s="23" t="inlineStr">
        <is>
          <t>P015</t>
        </is>
      </c>
      <c r="B20" s="15" t="inlineStr">
        <is>
          <t>P015_LingoCGM_CGM_Report_FIXED.xlsx</t>
        </is>
      </c>
      <c r="C20" s="23" t="inlineStr"/>
      <c r="D20" s="23">
        <f>'Participant_Metrics'!A20</f>
        <v/>
      </c>
      <c r="E20" s="23">
        <f>IF('Participant_Metrics'!A20&lt;&gt;"","Loaded / pasted","Waiting for file or paste")</f>
        <v/>
      </c>
    </row>
    <row r="21">
      <c r="A21" s="23" t="inlineStr">
        <is>
          <t>P016</t>
        </is>
      </c>
      <c r="B21" s="15" t="inlineStr">
        <is>
          <t>P016_LingoCGM_CGM_Report_FIXED.xlsx</t>
        </is>
      </c>
      <c r="C21" s="23" t="inlineStr"/>
      <c r="D21" s="23">
        <f>'Participant_Metrics'!A21</f>
        <v/>
      </c>
      <c r="E21" s="23">
        <f>IF('Participant_Metrics'!A21&lt;&gt;"","Loaded / pasted","Waiting for file or paste")</f>
        <v/>
      </c>
    </row>
    <row r="22">
      <c r="A22" s="23" t="inlineStr">
        <is>
          <t>P017</t>
        </is>
      </c>
      <c r="B22" s="15" t="inlineStr">
        <is>
          <t>P017_LingoCGM_CGM_Report_FIXED.xlsx</t>
        </is>
      </c>
      <c r="C22" s="23" t="inlineStr"/>
      <c r="D22" s="23">
        <f>'Participant_Metrics'!A22</f>
        <v/>
      </c>
      <c r="E22" s="23">
        <f>IF('Participant_Metrics'!A22&lt;&gt;"","Loaded / pasted","Waiting for file or paste")</f>
        <v/>
      </c>
    </row>
    <row r="23">
      <c r="A23" s="23" t="inlineStr">
        <is>
          <t>P018</t>
        </is>
      </c>
      <c r="B23" s="15" t="inlineStr">
        <is>
          <t>P018_LingoCGM_CGM_Report_FIXED.xlsx</t>
        </is>
      </c>
      <c r="C23" s="23" t="inlineStr"/>
      <c r="D23" s="23">
        <f>'Participant_Metrics'!A23</f>
        <v/>
      </c>
      <c r="E23" s="23">
        <f>IF('Participant_Metrics'!A23&lt;&gt;"","Loaded / pasted","Waiting for file or paste")</f>
        <v/>
      </c>
    </row>
    <row r="24">
      <c r="A24" s="23" t="inlineStr">
        <is>
          <t>P019</t>
        </is>
      </c>
      <c r="B24" s="15" t="inlineStr">
        <is>
          <t>P019_LingoCGM_CGM_Report_FIXED.xlsx</t>
        </is>
      </c>
      <c r="C24" s="23" t="inlineStr"/>
      <c r="D24" s="23">
        <f>'Participant_Metrics'!A24</f>
        <v/>
      </c>
      <c r="E24" s="23">
        <f>IF('Participant_Metrics'!A24&lt;&gt;"","Loaded / pasted","Waiting for file or paste")</f>
        <v/>
      </c>
    </row>
    <row r="25">
      <c r="A25" s="23" t="inlineStr">
        <is>
          <t>P020</t>
        </is>
      </c>
      <c r="B25" s="15" t="inlineStr">
        <is>
          <t>P020_LingoCGM_CGM_Report_FIXED.xlsx</t>
        </is>
      </c>
      <c r="C25" s="23" t="inlineStr"/>
      <c r="D25" s="23">
        <f>'Participant_Metrics'!A25</f>
        <v/>
      </c>
      <c r="E25" s="23">
        <f>IF('Participant_Metrics'!A25&lt;&gt;"","Loaded / pasted","Waiting for file or paste")</f>
        <v/>
      </c>
    </row>
    <row r="26">
      <c r="A26" s="23" t="inlineStr">
        <is>
          <t>P021</t>
        </is>
      </c>
      <c r="B26" s="15" t="inlineStr">
        <is>
          <t>P021_LingoCGM_CGM_Report_FIXED.xlsx</t>
        </is>
      </c>
      <c r="C26" s="23" t="inlineStr"/>
      <c r="D26" s="23">
        <f>'Participant_Metrics'!A26</f>
        <v/>
      </c>
      <c r="E26" s="23">
        <f>IF('Participant_Metrics'!A26&lt;&gt;"","Loaded / pasted","Waiting for file or paste")</f>
        <v/>
      </c>
    </row>
    <row r="27">
      <c r="A27" s="23" t="inlineStr">
        <is>
          <t>P022</t>
        </is>
      </c>
      <c r="B27" s="15" t="inlineStr">
        <is>
          <t>P022_LingoCGM_CGM_Report_FIXED.xlsx</t>
        </is>
      </c>
      <c r="C27" s="23" t="inlineStr"/>
      <c r="D27" s="23">
        <f>'Participant_Metrics'!A27</f>
        <v/>
      </c>
      <c r="E27" s="23">
        <f>IF('Participant_Metrics'!A27&lt;&gt;"","Loaded / pasted","Waiting for file or paste")</f>
        <v/>
      </c>
    </row>
    <row r="28">
      <c r="A28" s="23" t="inlineStr">
        <is>
          <t>P023</t>
        </is>
      </c>
      <c r="B28" s="15" t="inlineStr">
        <is>
          <t>P023_LingoCGM_CGM_Report_FIXED.xlsx</t>
        </is>
      </c>
      <c r="C28" s="23" t="inlineStr"/>
      <c r="D28" s="23">
        <f>'Participant_Metrics'!A28</f>
        <v/>
      </c>
      <c r="E28" s="23">
        <f>IF('Participant_Metrics'!A28&lt;&gt;"","Loaded / pasted","Waiting for file or paste")</f>
        <v/>
      </c>
    </row>
    <row r="29">
      <c r="A29" s="23" t="inlineStr">
        <is>
          <t>P024</t>
        </is>
      </c>
      <c r="B29" s="15" t="inlineStr">
        <is>
          <t>P024_LingoCGM_CGM_Report_FIXED.xlsx</t>
        </is>
      </c>
      <c r="C29" s="23" t="inlineStr"/>
      <c r="D29" s="23">
        <f>'Participant_Metrics'!A29</f>
        <v/>
      </c>
      <c r="E29" s="23">
        <f>IF('Participant_Metrics'!A29&lt;&gt;"","Loaded / pasted","Waiting for file or paste")</f>
        <v/>
      </c>
    </row>
    <row r="30">
      <c r="A30" s="23" t="inlineStr">
        <is>
          <t>P025</t>
        </is>
      </c>
      <c r="B30" s="15" t="inlineStr">
        <is>
          <t>P025_LingoCGM_CGM_Report_FIXED.xlsx</t>
        </is>
      </c>
      <c r="C30" s="23" t="inlineStr"/>
      <c r="D30" s="23">
        <f>'Participant_Metrics'!A30</f>
        <v/>
      </c>
      <c r="E30" s="23">
        <f>IF('Participant_Metrics'!A30&lt;&gt;"","Loaded / pasted","Waiting for file or paste")</f>
        <v/>
      </c>
    </row>
    <row r="31">
      <c r="A31" s="23" t="inlineStr">
        <is>
          <t>P026</t>
        </is>
      </c>
      <c r="B31" s="15" t="inlineStr">
        <is>
          <t>P026_LingoCGM_CGM_Report_FIXED.xlsx</t>
        </is>
      </c>
      <c r="C31" s="23" t="inlineStr"/>
      <c r="D31" s="23">
        <f>'Participant_Metrics'!A31</f>
        <v/>
      </c>
      <c r="E31" s="23">
        <f>IF('Participant_Metrics'!A31&lt;&gt;"","Loaded / pasted","Waiting for file or paste")</f>
        <v/>
      </c>
    </row>
    <row r="32">
      <c r="A32" s="23" t="inlineStr">
        <is>
          <t>P027</t>
        </is>
      </c>
      <c r="B32" s="15" t="inlineStr">
        <is>
          <t>P027_LingoCGM_CGM_Report_FIXED.xlsx</t>
        </is>
      </c>
      <c r="C32" s="23" t="inlineStr"/>
      <c r="D32" s="23">
        <f>'Participant_Metrics'!A32</f>
        <v/>
      </c>
      <c r="E32" s="23">
        <f>IF('Participant_Metrics'!A32&lt;&gt;"","Loaded / pasted","Waiting for file or paste")</f>
        <v/>
      </c>
    </row>
    <row r="33">
      <c r="A33" s="23" t="inlineStr">
        <is>
          <t>P028</t>
        </is>
      </c>
      <c r="B33" s="15" t="inlineStr">
        <is>
          <t>P028_LingoCGM_CGM_Report_FIXED.xlsx</t>
        </is>
      </c>
      <c r="C33" s="23" t="inlineStr"/>
      <c r="D33" s="23">
        <f>'Participant_Metrics'!A33</f>
        <v/>
      </c>
      <c r="E33" s="23">
        <f>IF('Participant_Metrics'!A33&lt;&gt;"","Loaded / pasted","Waiting for file or paste")</f>
        <v/>
      </c>
    </row>
    <row r="34">
      <c r="A34" s="23" t="inlineStr">
        <is>
          <t>P029</t>
        </is>
      </c>
      <c r="B34" s="15" t="inlineStr">
        <is>
          <t>P029_LingoCGM_CGM_Report_FIXED.xlsx</t>
        </is>
      </c>
      <c r="C34" s="23" t="inlineStr"/>
      <c r="D34" s="23">
        <f>'Participant_Metrics'!A34</f>
        <v/>
      </c>
      <c r="E34" s="23">
        <f>IF('Participant_Metrics'!A34&lt;&gt;"","Loaded / pasted","Waiting for file or paste")</f>
        <v/>
      </c>
    </row>
    <row r="35">
      <c r="A35" s="23" t="inlineStr">
        <is>
          <t>P030</t>
        </is>
      </c>
      <c r="B35" s="15" t="inlineStr">
        <is>
          <t>P030_LingoCGM_CGM_Report_FIXED.xlsx</t>
        </is>
      </c>
      <c r="C35" s="23" t="inlineStr"/>
      <c r="D35" s="23">
        <f>'Participant_Metrics'!A35</f>
        <v/>
      </c>
      <c r="E35" s="23">
        <f>IF('Participant_Metrics'!A35&lt;&gt;"","Loaded / pasted","Waiting for file or paste")</f>
        <v/>
      </c>
    </row>
  </sheetData>
  <mergeCells count="2">
    <mergeCell ref="A1:E1"/>
    <mergeCell ref="A3:E3"/>
  </mergeCells>
  <dataValidations count="1">
    <dataValidation sqref="C6 C7 C8 C9 C10 C11 C12 C13 C14 C15 C16 C17 C18 C19 C20 C21 C22 C23 C24 C25 C26 C27 C28 C29 C30 C31 C32 C33 C34 C35" showDropDown="0" showInputMessage="0" showErrorMessage="0" allowBlank="1" type="list">
      <formula1>"Once Daily,Twice Daily,Other/Unknown"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7" customWidth="1" min="4" max="4"/>
    <col width="2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2" customWidth="1" min="11" max="11"/>
    <col width="12" customWidth="1" min="12" max="12"/>
    <col width="17" customWidth="1" min="13" max="13"/>
    <col width="16" customWidth="1" min="14" max="14"/>
    <col width="1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2" customWidth="1" min="25" max="25"/>
    <col width="12" customWidth="1" min="26" max="26"/>
    <col width="14" customWidth="1" min="27" max="27"/>
    <col width="12" customWidth="1" min="28" max="28"/>
    <col width="12" customWidth="1" min="29" max="29"/>
    <col width="14" customWidth="1" min="30" max="30"/>
    <col width="12" customWidth="1" min="31" max="31"/>
    <col width="12" customWidth="1" min="32" max="32"/>
    <col width="14" customWidth="1" min="33" max="33"/>
    <col width="21" customWidth="1" min="34" max="34"/>
    <col width="20" customWidth="1" min="35" max="35"/>
    <col width="23" customWidth="1" min="36" max="36"/>
    <col width="20" customWidth="1" min="37" max="37"/>
    <col width="19" customWidth="1" min="38" max="38"/>
    <col width="2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3" customWidth="1" min="55" max="55"/>
    <col width="12" customWidth="1" min="56" max="56"/>
    <col width="15" customWidth="1" min="57" max="57"/>
    <col width="12" customWidth="1" min="58" max="58"/>
    <col width="12" customWidth="1" min="59" max="59"/>
    <col width="12" customWidth="1" min="60" max="60"/>
    <col width="13" customWidth="1" min="61" max="61"/>
    <col width="12" customWidth="1" min="62" max="62"/>
    <col width="15" customWidth="1" min="63" max="63"/>
    <col width="12" customWidth="1" min="64" max="64"/>
    <col width="12" customWidth="1" min="65" max="65"/>
    <col width="14" customWidth="1" min="66" max="66"/>
    <col width="12" customWidth="1" min="67" max="67"/>
    <col width="12" customWidth="1" min="68" max="68"/>
    <col width="14" customWidth="1" min="69" max="69"/>
    <col width="12" customWidth="1" min="70" max="70"/>
    <col width="12" customWidth="1" min="71" max="71"/>
    <col width="14" customWidth="1" min="72" max="72"/>
    <col width="12" customWidth="1" min="73" max="73"/>
    <col width="12" customWidth="1" min="74" max="74"/>
    <col width="12" customWidth="1" min="75" max="75"/>
  </cols>
  <sheetData>
    <row r="1" ht="30" customHeight="1">
      <c r="A1" s="1" t="inlineStr">
        <is>
          <t>Automatic File Intake - external links to Study Export</t>
        </is>
      </c>
      <c r="B1" s="3" t="n"/>
      <c r="C1" s="3" t="n"/>
      <c r="D1" s="3" t="n"/>
      <c r="E1" s="3" t="n"/>
      <c r="F1" s="3" t="n"/>
      <c r="G1" s="3" t="n"/>
      <c r="H1" s="4" t="n"/>
    </row>
    <row r="3">
      <c r="A3" s="21" t="inlineStr">
        <is>
          <t>Expected filenames are listed on Source_Files. If Excel asks to update links, allow it after all 30 files are in the same folder.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5">
      <c r="A5" s="22" t="inlineStr">
        <is>
          <t>Participant ID</t>
        </is>
      </c>
      <c r="B5" s="22" t="inlineStr">
        <is>
          <t>Treatment Arm</t>
        </is>
      </c>
      <c r="C5" s="22" t="inlineStr">
        <is>
          <t>Dose Detail</t>
        </is>
      </c>
      <c r="D5" s="22" t="inlineStr">
        <is>
          <t>Source Workbook</t>
        </is>
      </c>
      <c r="E5" s="22" t="inlineStr">
        <is>
          <t>Metformin Start Date</t>
        </is>
      </c>
      <c r="F5" s="22" t="inlineStr">
        <is>
          <t>Washout Days</t>
        </is>
      </c>
      <c r="G5" s="22" t="inlineStr">
        <is>
          <t>Total Readings</t>
        </is>
      </c>
      <c r="H5" s="22" t="inlineStr">
        <is>
          <t>Total Days</t>
        </is>
      </c>
      <c r="I5" s="22" t="inlineStr">
        <is>
          <t>Off Readings</t>
        </is>
      </c>
      <c r="J5" s="22" t="inlineStr">
        <is>
          <t>On Readings</t>
        </is>
      </c>
      <c r="K5" s="22" t="inlineStr">
        <is>
          <t>Off Days</t>
        </is>
      </c>
      <c r="L5" s="22" t="inlineStr">
        <is>
          <t>On Days</t>
        </is>
      </c>
      <c r="M5" s="22" t="inlineStr">
        <is>
          <t>Avg Glucose Off</t>
        </is>
      </c>
      <c r="N5" s="22" t="inlineStr">
        <is>
          <t>Avg Glucose On</t>
        </is>
      </c>
      <c r="O5" s="22" t="inlineStr">
        <is>
          <t>Avg Glucose Delta</t>
        </is>
      </c>
      <c r="P5" s="22" t="inlineStr">
        <is>
          <t>GMI Off</t>
        </is>
      </c>
      <c r="Q5" s="22" t="inlineStr">
        <is>
          <t>GMI On</t>
        </is>
      </c>
      <c r="R5" s="22" t="inlineStr">
        <is>
          <t>GMI Delta</t>
        </is>
      </c>
      <c r="S5" s="22" t="inlineStr">
        <is>
          <t>TIR Off</t>
        </is>
      </c>
      <c r="T5" s="22" t="inlineStr">
        <is>
          <t>TIR On</t>
        </is>
      </c>
      <c r="U5" s="22" t="inlineStr">
        <is>
          <t>TIR Delta</t>
        </is>
      </c>
      <c r="V5" s="22" t="inlineStr">
        <is>
          <t>TBR L2 Off</t>
        </is>
      </c>
      <c r="W5" s="22" t="inlineStr">
        <is>
          <t>TBR L2 On</t>
        </is>
      </c>
      <c r="X5" s="22" t="inlineStr">
        <is>
          <t>TBR L2 Delta</t>
        </is>
      </c>
      <c r="Y5" s="22" t="inlineStr">
        <is>
          <t>TBR L1 Off</t>
        </is>
      </c>
      <c r="Z5" s="22" t="inlineStr">
        <is>
          <t>TBR L1 On</t>
        </is>
      </c>
      <c r="AA5" s="22" t="inlineStr">
        <is>
          <t>TBR L1 Delta</t>
        </is>
      </c>
      <c r="AB5" s="22" t="inlineStr">
        <is>
          <t>TAR L1 Off</t>
        </is>
      </c>
      <c r="AC5" s="22" t="inlineStr">
        <is>
          <t>TAR L1 On</t>
        </is>
      </c>
      <c r="AD5" s="22" t="inlineStr">
        <is>
          <t>TAR L1 Delta</t>
        </is>
      </c>
      <c r="AE5" s="22" t="inlineStr">
        <is>
          <t>TAR L2 Off</t>
        </is>
      </c>
      <c r="AF5" s="22" t="inlineStr">
        <is>
          <t>TAR L2 On</t>
        </is>
      </c>
      <c r="AG5" s="22" t="inlineStr">
        <is>
          <t>TAR L2 Delta</t>
        </is>
      </c>
      <c r="AH5" s="22" t="inlineStr">
        <is>
          <t>Daily Hyper AUC Off</t>
        </is>
      </c>
      <c r="AI5" s="22" t="inlineStr">
        <is>
          <t>Daily Hyper AUC On</t>
        </is>
      </c>
      <c r="AJ5" s="22" t="inlineStr">
        <is>
          <t>Daily Hyper AUC Delta</t>
        </is>
      </c>
      <c r="AK5" s="22" t="inlineStr">
        <is>
          <t>Daily Hypo AUC Off</t>
        </is>
      </c>
      <c r="AL5" s="22" t="inlineStr">
        <is>
          <t>Daily Hypo AUC On</t>
        </is>
      </c>
      <c r="AM5" s="22" t="inlineStr">
        <is>
          <t>Daily Hypo AUC Delta</t>
        </is>
      </c>
      <c r="AN5" s="22" t="inlineStr">
        <is>
          <t>LBGI Off</t>
        </is>
      </c>
      <c r="AO5" s="22" t="inlineStr">
        <is>
          <t>LBGI On</t>
        </is>
      </c>
      <c r="AP5" s="22" t="inlineStr">
        <is>
          <t>LBGI Delta</t>
        </is>
      </c>
      <c r="AQ5" s="22" t="inlineStr">
        <is>
          <t>HBGI Off</t>
        </is>
      </c>
      <c r="AR5" s="22" t="inlineStr">
        <is>
          <t>HBGI On</t>
        </is>
      </c>
      <c r="AS5" s="22" t="inlineStr">
        <is>
          <t>HBGI Delta</t>
        </is>
      </c>
      <c r="AT5" s="22" t="inlineStr">
        <is>
          <t>SD Off</t>
        </is>
      </c>
      <c r="AU5" s="22" t="inlineStr">
        <is>
          <t>SD On</t>
        </is>
      </c>
      <c r="AV5" s="22" t="inlineStr">
        <is>
          <t>SD Delta</t>
        </is>
      </c>
      <c r="AW5" s="22" t="inlineStr">
        <is>
          <t>CV Off</t>
        </is>
      </c>
      <c r="AX5" s="22" t="inlineStr">
        <is>
          <t>CV On</t>
        </is>
      </c>
      <c r="AY5" s="22" t="inlineStr">
        <is>
          <t>CV Delta</t>
        </is>
      </c>
      <c r="AZ5" s="22" t="inlineStr">
        <is>
          <t>MODD Off</t>
        </is>
      </c>
      <c r="BA5" s="22" t="inlineStr">
        <is>
          <t>MODD On</t>
        </is>
      </c>
      <c r="BB5" s="22" t="inlineStr">
        <is>
          <t>MODD Delta</t>
        </is>
      </c>
      <c r="BC5" s="22" t="inlineStr">
        <is>
          <t>M Value Off</t>
        </is>
      </c>
      <c r="BD5" s="22" t="inlineStr">
        <is>
          <t>M Value On</t>
        </is>
      </c>
      <c r="BE5" s="22" t="inlineStr">
        <is>
          <t>M Value Delta</t>
        </is>
      </c>
      <c r="BF5" s="22" t="inlineStr">
        <is>
          <t>GRI Off</t>
        </is>
      </c>
      <c r="BG5" s="22" t="inlineStr">
        <is>
          <t>GRI On</t>
        </is>
      </c>
      <c r="BH5" s="22" t="inlineStr">
        <is>
          <t>GRI Delta</t>
        </is>
      </c>
      <c r="BI5" s="22" t="inlineStr">
        <is>
          <t>12-3 AM Off</t>
        </is>
      </c>
      <c r="BJ5" s="22" t="inlineStr">
        <is>
          <t>12-3 AM On</t>
        </is>
      </c>
      <c r="BK5" s="22" t="inlineStr">
        <is>
          <t>12-3 AM Delta</t>
        </is>
      </c>
      <c r="BL5" s="22" t="inlineStr">
        <is>
          <t>3-6 AM Off</t>
        </is>
      </c>
      <c r="BM5" s="22" t="inlineStr">
        <is>
          <t>3-6 AM On</t>
        </is>
      </c>
      <c r="BN5" s="22" t="inlineStr">
        <is>
          <t>3-6 AM Delta</t>
        </is>
      </c>
      <c r="BO5" s="22" t="inlineStr">
        <is>
          <t>6-9 AM Off</t>
        </is>
      </c>
      <c r="BP5" s="22" t="inlineStr">
        <is>
          <t>6-9 AM On</t>
        </is>
      </c>
      <c r="BQ5" s="22" t="inlineStr">
        <is>
          <t>6-9 AM Delta</t>
        </is>
      </c>
      <c r="BR5" s="22" t="inlineStr">
        <is>
          <t>Median Off</t>
        </is>
      </c>
      <c r="BS5" s="22" t="inlineStr">
        <is>
          <t>Median On</t>
        </is>
      </c>
      <c r="BT5" s="22" t="inlineStr">
        <is>
          <t>Median Delta</t>
        </is>
      </c>
      <c r="BU5" s="22" t="inlineStr">
        <is>
          <t>P90 Off</t>
        </is>
      </c>
      <c r="BV5" s="22" t="inlineStr">
        <is>
          <t>P90 On</t>
        </is>
      </c>
      <c r="BW5" s="22" t="inlineStr">
        <is>
          <t>P90 Delta</t>
        </is>
      </c>
      <c r="BX5" s="54" t="inlineStr">
        <is>
          <t>Days Logged</t>
        </is>
      </c>
      <c r="BY5" s="54" t="inlineStr">
        <is>
          <t>Avg Weight Off (lb)</t>
        </is>
      </c>
      <c r="BZ5" s="54" t="inlineStr">
        <is>
          <t>Avg Weight On (lb)</t>
        </is>
      </c>
      <c r="CA5" s="54" t="inlineStr">
        <is>
          <t>Weight Change (lb)</t>
        </is>
      </c>
      <c r="CB5" s="54" t="inlineStr">
        <is>
          <t>Weight Change %</t>
        </is>
      </c>
      <c r="CC5" s="54" t="inlineStr">
        <is>
          <t>Avg Dose Time (On)</t>
        </is>
      </c>
      <c r="CD5" s="54" t="inlineStr">
        <is>
          <t>Dose Time SD (min)</t>
        </is>
      </c>
      <c r="CE5" s="54" t="inlineStr">
        <is>
          <t>Dose-Time Days (On)</t>
        </is>
      </c>
      <c r="CF5" s="54" t="inlineStr">
        <is>
          <t>Avg Taste (1-5)</t>
        </is>
      </c>
      <c r="CG5" s="54" t="inlineStr">
        <is>
          <t>Avg Aftertaste (1-5)</t>
        </is>
      </c>
      <c r="CH5" s="54" t="inlineStr">
        <is>
          <t>Taste Days Logged</t>
        </is>
      </c>
    </row>
    <row r="6">
      <c r="A6" s="24">
        <f>IFERROR('[P001_LingoCGM_CGM_Report_FIXED.xlsx]Study Export'!A$3,"")</f>
        <v/>
      </c>
      <c r="B6" s="24">
        <f>IFERROR('[P001_LingoCGM_CGM_Report_FIXED.xlsx]Study Export'!B$3,"")</f>
        <v/>
      </c>
      <c r="C6" s="24">
        <f>IFERROR('[P001_LingoCGM_CGM_Report_FIXED.xlsx]Study Export'!C$3,"")</f>
        <v/>
      </c>
      <c r="D6" s="24">
        <f>IFERROR('[P001_LingoCGM_CGM_Report_FIXED.xlsx]Study Export'!D$3,"")</f>
        <v/>
      </c>
      <c r="E6" s="55">
        <f>IFERROR('[P001_LingoCGM_CGM_Report_FIXED.xlsx]Study Export'!E$3,"")</f>
        <v/>
      </c>
      <c r="F6" s="26">
        <f>IFERROR('[P001_LingoCGM_CGM_Report_FIXED.xlsx]Study Export'!F$3,"")</f>
        <v/>
      </c>
      <c r="G6" s="26">
        <f>IFERROR('[P001_LingoCGM_CGM_Report_FIXED.xlsx]Study Export'!G$3,"")</f>
        <v/>
      </c>
      <c r="H6" s="47">
        <f>IFERROR('[P001_LingoCGM_CGM_Report_FIXED.xlsx]Study Export'!H$3,"")</f>
        <v/>
      </c>
      <c r="I6" s="26">
        <f>IFERROR('[P001_LingoCGM_CGM_Report_FIXED.xlsx]Study Export'!I$3,"")</f>
        <v/>
      </c>
      <c r="J6" s="26">
        <f>IFERROR('[P001_LingoCGM_CGM_Report_FIXED.xlsx]Study Export'!J$3,"")</f>
        <v/>
      </c>
      <c r="K6" s="47">
        <f>IFERROR('[P001_LingoCGM_CGM_Report_FIXED.xlsx]Study Export'!K$3,"")</f>
        <v/>
      </c>
      <c r="L6" s="47">
        <f>IFERROR('[P001_LingoCGM_CGM_Report_FIXED.xlsx]Study Export'!L$3,"")</f>
        <v/>
      </c>
      <c r="M6" s="47">
        <f>IFERROR('[P001_LingoCGM_CGM_Report_FIXED.xlsx]Study Export'!M$3,"")</f>
        <v/>
      </c>
      <c r="N6" s="47">
        <f>IFERROR('[P001_LingoCGM_CGM_Report_FIXED.xlsx]Study Export'!N$3,"")</f>
        <v/>
      </c>
      <c r="O6" s="47">
        <f>IFERROR('[P001_LingoCGM_CGM_Report_FIXED.xlsx]Study Export'!O$3,"")</f>
        <v/>
      </c>
      <c r="P6" s="27">
        <f>IFERROR('[P001_LingoCGM_CGM_Report_FIXED.xlsx]Study Export'!P$3,"")</f>
        <v/>
      </c>
      <c r="Q6" s="27">
        <f>IFERROR('[P001_LingoCGM_CGM_Report_FIXED.xlsx]Study Export'!Q$3,"")</f>
        <v/>
      </c>
      <c r="R6" s="27">
        <f>IFERROR('[P001_LingoCGM_CGM_Report_FIXED.xlsx]Study Export'!R$3,"")</f>
        <v/>
      </c>
      <c r="S6" s="56">
        <f>IFERROR('[P001_LingoCGM_CGM_Report_FIXED.xlsx]Study Export'!S$3,"")</f>
        <v/>
      </c>
      <c r="T6" s="56">
        <f>IFERROR('[P001_LingoCGM_CGM_Report_FIXED.xlsx]Study Export'!T$3,"")</f>
        <v/>
      </c>
      <c r="U6" s="56">
        <f>IFERROR('[P001_LingoCGM_CGM_Report_FIXED.xlsx]Study Export'!U$3,"")</f>
        <v/>
      </c>
      <c r="V6" s="56">
        <f>IFERROR('[P001_LingoCGM_CGM_Report_FIXED.xlsx]Study Export'!V$3,"")</f>
        <v/>
      </c>
      <c r="W6" s="56">
        <f>IFERROR('[P001_LingoCGM_CGM_Report_FIXED.xlsx]Study Export'!W$3,"")</f>
        <v/>
      </c>
      <c r="X6" s="56">
        <f>IFERROR('[P001_LingoCGM_CGM_Report_FIXED.xlsx]Study Export'!X$3,"")</f>
        <v/>
      </c>
      <c r="Y6" s="56">
        <f>IFERROR('[P001_LingoCGM_CGM_Report_FIXED.xlsx]Study Export'!Y$3,"")</f>
        <v/>
      </c>
      <c r="Z6" s="56">
        <f>IFERROR('[P001_LingoCGM_CGM_Report_FIXED.xlsx]Study Export'!Z$3,"")</f>
        <v/>
      </c>
      <c r="AA6" s="56">
        <f>IFERROR('[P001_LingoCGM_CGM_Report_FIXED.xlsx]Study Export'!AA$3,"")</f>
        <v/>
      </c>
      <c r="AB6" s="56">
        <f>IFERROR('[P001_LingoCGM_CGM_Report_FIXED.xlsx]Study Export'!AB$3,"")</f>
        <v/>
      </c>
      <c r="AC6" s="56">
        <f>IFERROR('[P001_LingoCGM_CGM_Report_FIXED.xlsx]Study Export'!AC$3,"")</f>
        <v/>
      </c>
      <c r="AD6" s="56">
        <f>IFERROR('[P001_LingoCGM_CGM_Report_FIXED.xlsx]Study Export'!AD$3,"")</f>
        <v/>
      </c>
      <c r="AE6" s="56">
        <f>IFERROR('[P001_LingoCGM_CGM_Report_FIXED.xlsx]Study Export'!AE$3,"")</f>
        <v/>
      </c>
      <c r="AF6" s="56">
        <f>IFERROR('[P001_LingoCGM_CGM_Report_FIXED.xlsx]Study Export'!AF$3,"")</f>
        <v/>
      </c>
      <c r="AG6" s="56">
        <f>IFERROR('[P001_LingoCGM_CGM_Report_FIXED.xlsx]Study Export'!AG$3,"")</f>
        <v/>
      </c>
      <c r="AH6" s="27">
        <f>IFERROR('[P001_LingoCGM_CGM_Report_FIXED.xlsx]Study Export'!AH$3,"")</f>
        <v/>
      </c>
      <c r="AI6" s="27">
        <f>IFERROR('[P001_LingoCGM_CGM_Report_FIXED.xlsx]Study Export'!AI$3,"")</f>
        <v/>
      </c>
      <c r="AJ6" s="27">
        <f>IFERROR('[P001_LingoCGM_CGM_Report_FIXED.xlsx]Study Export'!AJ$3,"")</f>
        <v/>
      </c>
      <c r="AK6" s="27">
        <f>IFERROR('[P001_LingoCGM_CGM_Report_FIXED.xlsx]Study Export'!AK$3,"")</f>
        <v/>
      </c>
      <c r="AL6" s="27">
        <f>IFERROR('[P001_LingoCGM_CGM_Report_FIXED.xlsx]Study Export'!AL$3,"")</f>
        <v/>
      </c>
      <c r="AM6" s="27">
        <f>IFERROR('[P001_LingoCGM_CGM_Report_FIXED.xlsx]Study Export'!AM$3,"")</f>
        <v/>
      </c>
      <c r="AN6" s="27">
        <f>IFERROR('[P001_LingoCGM_CGM_Report_FIXED.xlsx]Study Export'!AN$3,"")</f>
        <v/>
      </c>
      <c r="AO6" s="27">
        <f>IFERROR('[P001_LingoCGM_CGM_Report_FIXED.xlsx]Study Export'!AO$3,"")</f>
        <v/>
      </c>
      <c r="AP6" s="27">
        <f>IFERROR('[P001_LingoCGM_CGM_Report_FIXED.xlsx]Study Export'!AP$3,"")</f>
        <v/>
      </c>
      <c r="AQ6" s="27">
        <f>IFERROR('[P001_LingoCGM_CGM_Report_FIXED.xlsx]Study Export'!AQ$3,"")</f>
        <v/>
      </c>
      <c r="AR6" s="27">
        <f>IFERROR('[P001_LingoCGM_CGM_Report_FIXED.xlsx]Study Export'!AR$3,"")</f>
        <v/>
      </c>
      <c r="AS6" s="27">
        <f>IFERROR('[P001_LingoCGM_CGM_Report_FIXED.xlsx]Study Export'!AS$3,"")</f>
        <v/>
      </c>
      <c r="AT6" s="47">
        <f>IFERROR('[P001_LingoCGM_CGM_Report_FIXED.xlsx]Study Export'!AT$3,"")</f>
        <v/>
      </c>
      <c r="AU6" s="47">
        <f>IFERROR('[P001_LingoCGM_CGM_Report_FIXED.xlsx]Study Export'!AU$3,"")</f>
        <v/>
      </c>
      <c r="AV6" s="47">
        <f>IFERROR('[P001_LingoCGM_CGM_Report_FIXED.xlsx]Study Export'!AV$3,"")</f>
        <v/>
      </c>
      <c r="AW6" s="56">
        <f>IFERROR('[P001_LingoCGM_CGM_Report_FIXED.xlsx]Study Export'!AW$3,"")</f>
        <v/>
      </c>
      <c r="AX6" s="56">
        <f>IFERROR('[P001_LingoCGM_CGM_Report_FIXED.xlsx]Study Export'!AX$3,"")</f>
        <v/>
      </c>
      <c r="AY6" s="56">
        <f>IFERROR('[P001_LingoCGM_CGM_Report_FIXED.xlsx]Study Export'!AY$3,"")</f>
        <v/>
      </c>
      <c r="AZ6" s="47">
        <f>IFERROR('[P001_LingoCGM_CGM_Report_FIXED.xlsx]Study Export'!AZ$3,"")</f>
        <v/>
      </c>
      <c r="BA6" s="47">
        <f>IFERROR('[P001_LingoCGM_CGM_Report_FIXED.xlsx]Study Export'!BA$3,"")</f>
        <v/>
      </c>
      <c r="BB6" s="47">
        <f>IFERROR('[P001_LingoCGM_CGM_Report_FIXED.xlsx]Study Export'!BB$3,"")</f>
        <v/>
      </c>
      <c r="BC6" s="27">
        <f>IFERROR('[P001_LingoCGM_CGM_Report_FIXED.xlsx]Study Export'!BC$3,"")</f>
        <v/>
      </c>
      <c r="BD6" s="27">
        <f>IFERROR('[P001_LingoCGM_CGM_Report_FIXED.xlsx]Study Export'!BD$3,"")</f>
        <v/>
      </c>
      <c r="BE6" s="27">
        <f>IFERROR('[P001_LingoCGM_CGM_Report_FIXED.xlsx]Study Export'!BE$3,"")</f>
        <v/>
      </c>
      <c r="BF6" s="47">
        <f>IFERROR('[P001_LingoCGM_CGM_Report_FIXED.xlsx]Study Export'!BF$3,"")</f>
        <v/>
      </c>
      <c r="BG6" s="47">
        <f>IFERROR('[P001_LingoCGM_CGM_Report_FIXED.xlsx]Study Export'!BG$3,"")</f>
        <v/>
      </c>
      <c r="BH6" s="47">
        <f>IFERROR('[P001_LingoCGM_CGM_Report_FIXED.xlsx]Study Export'!BH$3,"")</f>
        <v/>
      </c>
      <c r="BI6" s="47">
        <f>IFERROR('[P001_LingoCGM_CGM_Report_FIXED.xlsx]Study Export'!BI$3,"")</f>
        <v/>
      </c>
      <c r="BJ6" s="47">
        <f>IFERROR('[P001_LingoCGM_CGM_Report_FIXED.xlsx]Study Export'!BJ$3,"")</f>
        <v/>
      </c>
      <c r="BK6" s="47">
        <f>IFERROR('[P001_LingoCGM_CGM_Report_FIXED.xlsx]Study Export'!BK$3,"")</f>
        <v/>
      </c>
      <c r="BL6" s="47">
        <f>IFERROR('[P001_LingoCGM_CGM_Report_FIXED.xlsx]Study Export'!BL$3,"")</f>
        <v/>
      </c>
      <c r="BM6" s="47">
        <f>IFERROR('[P001_LingoCGM_CGM_Report_FIXED.xlsx]Study Export'!BM$3,"")</f>
        <v/>
      </c>
      <c r="BN6" s="47">
        <f>IFERROR('[P001_LingoCGM_CGM_Report_FIXED.xlsx]Study Export'!BN$3,"")</f>
        <v/>
      </c>
      <c r="BO6" s="47">
        <f>IFERROR('[P001_LingoCGM_CGM_Report_FIXED.xlsx]Study Export'!BO$3,"")</f>
        <v/>
      </c>
      <c r="BP6" s="47">
        <f>IFERROR('[P001_LingoCGM_CGM_Report_FIXED.xlsx]Study Export'!BP$3,"")</f>
        <v/>
      </c>
      <c r="BQ6" s="47">
        <f>IFERROR('[P001_LingoCGM_CGM_Report_FIXED.xlsx]Study Export'!BQ$3,"")</f>
        <v/>
      </c>
      <c r="BR6" s="47">
        <f>IFERROR('[P001_LingoCGM_CGM_Report_FIXED.xlsx]Study Export'!BR$3,"")</f>
        <v/>
      </c>
      <c r="BS6" s="47">
        <f>IFERROR('[P001_LingoCGM_CGM_Report_FIXED.xlsx]Study Export'!BS$3,"")</f>
        <v/>
      </c>
      <c r="BT6" s="47">
        <f>IFERROR('[P001_LingoCGM_CGM_Report_FIXED.xlsx]Study Export'!BT$3,"")</f>
        <v/>
      </c>
      <c r="BU6" s="47">
        <f>IFERROR('[P001_LingoCGM_CGM_Report_FIXED.xlsx]Study Export'!BU$3,"")</f>
        <v/>
      </c>
      <c r="BV6" s="47">
        <f>IFERROR('[P001_LingoCGM_CGM_Report_FIXED.xlsx]Study Export'!BV$3,"")</f>
        <v/>
      </c>
      <c r="BW6" s="47">
        <f>IFERROR('[P001_LingoCGM_CGM_Report_FIXED.xlsx]Study Export'!BW$3,"")</f>
        <v/>
      </c>
      <c r="BX6">
        <f>IFERROR('[P001_LingoCGM_CGM_Report_FIXED.xlsx]Study Export'!BX$3,"")</f>
        <v/>
      </c>
      <c r="BY6" s="57">
        <f>IFERROR('[P001_LingoCGM_CGM_Report_FIXED.xlsx]Study Export'!BY$3,"")</f>
        <v/>
      </c>
      <c r="BZ6" s="57">
        <f>IFERROR('[P001_LingoCGM_CGM_Report_FIXED.xlsx]Study Export'!BZ$3,"")</f>
        <v/>
      </c>
      <c r="CA6" s="57">
        <f>IFERROR('[P001_LingoCGM_CGM_Report_FIXED.xlsx]Study Export'!CA$3,"")</f>
        <v/>
      </c>
      <c r="CB6" s="58">
        <f>IFERROR('[P001_LingoCGM_CGM_Report_FIXED.xlsx]Study Export'!CB$3,"")</f>
        <v/>
      </c>
      <c r="CC6" s="59">
        <f>IFERROR('[P001_LingoCGM_CGM_Report_FIXED.xlsx]Study Export'!CC$3,"")</f>
        <v/>
      </c>
      <c r="CD6">
        <f>IFERROR('[P001_LingoCGM_CGM_Report_FIXED.xlsx]Study Export'!CD$3,"")</f>
        <v/>
      </c>
      <c r="CE6">
        <f>IFERROR('[P001_LingoCGM_CGM_Report_FIXED.xlsx]Study Export'!CE$3,"")</f>
        <v/>
      </c>
      <c r="CF6" s="60">
        <f>IFERROR('[P001_LingoCGM_CGM_Report_FIXED.xlsx]Study Export'!CF$3,"")</f>
        <v/>
      </c>
      <c r="CG6" s="60">
        <f>IFERROR('[P001_LingoCGM_CGM_Report_FIXED.xlsx]Study Export'!CG$3,"")</f>
        <v/>
      </c>
      <c r="CH6">
        <f>IFERROR('[P001_LingoCGM_CGM_Report_FIXED.xlsx]Study Export'!CH$3,"")</f>
        <v/>
      </c>
    </row>
    <row r="7">
      <c r="A7" s="24">
        <f>IFERROR('[P002_LingoCGM_CGM_Report_FIXED.xlsx]Study Export'!A$3,"")</f>
        <v/>
      </c>
      <c r="B7" s="24">
        <f>IFERROR('[P002_LingoCGM_CGM_Report_FIXED.xlsx]Study Export'!B$3,"")</f>
        <v/>
      </c>
      <c r="C7" s="24">
        <f>IFERROR('[P002_LingoCGM_CGM_Report_FIXED.xlsx]Study Export'!C$3,"")</f>
        <v/>
      </c>
      <c r="D7" s="24">
        <f>IFERROR('[P002_LingoCGM_CGM_Report_FIXED.xlsx]Study Export'!D$3,"")</f>
        <v/>
      </c>
      <c r="E7" s="55">
        <f>IFERROR('[P002_LingoCGM_CGM_Report_FIXED.xlsx]Study Export'!E$3,"")</f>
        <v/>
      </c>
      <c r="F7" s="26">
        <f>IFERROR('[P002_LingoCGM_CGM_Report_FIXED.xlsx]Study Export'!F$3,"")</f>
        <v/>
      </c>
      <c r="G7" s="26">
        <f>IFERROR('[P002_LingoCGM_CGM_Report_FIXED.xlsx]Study Export'!G$3,"")</f>
        <v/>
      </c>
      <c r="H7" s="47">
        <f>IFERROR('[P002_LingoCGM_CGM_Report_FIXED.xlsx]Study Export'!H$3,"")</f>
        <v/>
      </c>
      <c r="I7" s="26">
        <f>IFERROR('[P002_LingoCGM_CGM_Report_FIXED.xlsx]Study Export'!I$3,"")</f>
        <v/>
      </c>
      <c r="J7" s="26">
        <f>IFERROR('[P002_LingoCGM_CGM_Report_FIXED.xlsx]Study Export'!J$3,"")</f>
        <v/>
      </c>
      <c r="K7" s="47">
        <f>IFERROR('[P002_LingoCGM_CGM_Report_FIXED.xlsx]Study Export'!K$3,"")</f>
        <v/>
      </c>
      <c r="L7" s="47">
        <f>IFERROR('[P002_LingoCGM_CGM_Report_FIXED.xlsx]Study Export'!L$3,"")</f>
        <v/>
      </c>
      <c r="M7" s="47">
        <f>IFERROR('[P002_LingoCGM_CGM_Report_FIXED.xlsx]Study Export'!M$3,"")</f>
        <v/>
      </c>
      <c r="N7" s="47">
        <f>IFERROR('[P002_LingoCGM_CGM_Report_FIXED.xlsx]Study Export'!N$3,"")</f>
        <v/>
      </c>
      <c r="O7" s="47">
        <f>IFERROR('[P002_LingoCGM_CGM_Report_FIXED.xlsx]Study Export'!O$3,"")</f>
        <v/>
      </c>
      <c r="P7" s="27">
        <f>IFERROR('[P002_LingoCGM_CGM_Report_FIXED.xlsx]Study Export'!P$3,"")</f>
        <v/>
      </c>
      <c r="Q7" s="27">
        <f>IFERROR('[P002_LingoCGM_CGM_Report_FIXED.xlsx]Study Export'!Q$3,"")</f>
        <v/>
      </c>
      <c r="R7" s="27">
        <f>IFERROR('[P002_LingoCGM_CGM_Report_FIXED.xlsx]Study Export'!R$3,"")</f>
        <v/>
      </c>
      <c r="S7" s="56">
        <f>IFERROR('[P002_LingoCGM_CGM_Report_FIXED.xlsx]Study Export'!S$3,"")</f>
        <v/>
      </c>
      <c r="T7" s="56">
        <f>IFERROR('[P002_LingoCGM_CGM_Report_FIXED.xlsx]Study Export'!T$3,"")</f>
        <v/>
      </c>
      <c r="U7" s="56">
        <f>IFERROR('[P002_LingoCGM_CGM_Report_FIXED.xlsx]Study Export'!U$3,"")</f>
        <v/>
      </c>
      <c r="V7" s="56">
        <f>IFERROR('[P002_LingoCGM_CGM_Report_FIXED.xlsx]Study Export'!V$3,"")</f>
        <v/>
      </c>
      <c r="W7" s="56">
        <f>IFERROR('[P002_LingoCGM_CGM_Report_FIXED.xlsx]Study Export'!W$3,"")</f>
        <v/>
      </c>
      <c r="X7" s="56">
        <f>IFERROR('[P002_LingoCGM_CGM_Report_FIXED.xlsx]Study Export'!X$3,"")</f>
        <v/>
      </c>
      <c r="Y7" s="56">
        <f>IFERROR('[P002_LingoCGM_CGM_Report_FIXED.xlsx]Study Export'!Y$3,"")</f>
        <v/>
      </c>
      <c r="Z7" s="56">
        <f>IFERROR('[P002_LingoCGM_CGM_Report_FIXED.xlsx]Study Export'!Z$3,"")</f>
        <v/>
      </c>
      <c r="AA7" s="56">
        <f>IFERROR('[P002_LingoCGM_CGM_Report_FIXED.xlsx]Study Export'!AA$3,"")</f>
        <v/>
      </c>
      <c r="AB7" s="56">
        <f>IFERROR('[P002_LingoCGM_CGM_Report_FIXED.xlsx]Study Export'!AB$3,"")</f>
        <v/>
      </c>
      <c r="AC7" s="56">
        <f>IFERROR('[P002_LingoCGM_CGM_Report_FIXED.xlsx]Study Export'!AC$3,"")</f>
        <v/>
      </c>
      <c r="AD7" s="56">
        <f>IFERROR('[P002_LingoCGM_CGM_Report_FIXED.xlsx]Study Export'!AD$3,"")</f>
        <v/>
      </c>
      <c r="AE7" s="56">
        <f>IFERROR('[P002_LingoCGM_CGM_Report_FIXED.xlsx]Study Export'!AE$3,"")</f>
        <v/>
      </c>
      <c r="AF7" s="56">
        <f>IFERROR('[P002_LingoCGM_CGM_Report_FIXED.xlsx]Study Export'!AF$3,"")</f>
        <v/>
      </c>
      <c r="AG7" s="56">
        <f>IFERROR('[P002_LingoCGM_CGM_Report_FIXED.xlsx]Study Export'!AG$3,"")</f>
        <v/>
      </c>
      <c r="AH7" s="27">
        <f>IFERROR('[P002_LingoCGM_CGM_Report_FIXED.xlsx]Study Export'!AH$3,"")</f>
        <v/>
      </c>
      <c r="AI7" s="27">
        <f>IFERROR('[P002_LingoCGM_CGM_Report_FIXED.xlsx]Study Export'!AI$3,"")</f>
        <v/>
      </c>
      <c r="AJ7" s="27">
        <f>IFERROR('[P002_LingoCGM_CGM_Report_FIXED.xlsx]Study Export'!AJ$3,"")</f>
        <v/>
      </c>
      <c r="AK7" s="27">
        <f>IFERROR('[P002_LingoCGM_CGM_Report_FIXED.xlsx]Study Export'!AK$3,"")</f>
        <v/>
      </c>
      <c r="AL7" s="27">
        <f>IFERROR('[P002_LingoCGM_CGM_Report_FIXED.xlsx]Study Export'!AL$3,"")</f>
        <v/>
      </c>
      <c r="AM7" s="27">
        <f>IFERROR('[P002_LingoCGM_CGM_Report_FIXED.xlsx]Study Export'!AM$3,"")</f>
        <v/>
      </c>
      <c r="AN7" s="27">
        <f>IFERROR('[P002_LingoCGM_CGM_Report_FIXED.xlsx]Study Export'!AN$3,"")</f>
        <v/>
      </c>
      <c r="AO7" s="27">
        <f>IFERROR('[P002_LingoCGM_CGM_Report_FIXED.xlsx]Study Export'!AO$3,"")</f>
        <v/>
      </c>
      <c r="AP7" s="27">
        <f>IFERROR('[P002_LingoCGM_CGM_Report_FIXED.xlsx]Study Export'!AP$3,"")</f>
        <v/>
      </c>
      <c r="AQ7" s="27">
        <f>IFERROR('[P002_LingoCGM_CGM_Report_FIXED.xlsx]Study Export'!AQ$3,"")</f>
        <v/>
      </c>
      <c r="AR7" s="27">
        <f>IFERROR('[P002_LingoCGM_CGM_Report_FIXED.xlsx]Study Export'!AR$3,"")</f>
        <v/>
      </c>
      <c r="AS7" s="27">
        <f>IFERROR('[P002_LingoCGM_CGM_Report_FIXED.xlsx]Study Export'!AS$3,"")</f>
        <v/>
      </c>
      <c r="AT7" s="47">
        <f>IFERROR('[P002_LingoCGM_CGM_Report_FIXED.xlsx]Study Export'!AT$3,"")</f>
        <v/>
      </c>
      <c r="AU7" s="47">
        <f>IFERROR('[P002_LingoCGM_CGM_Report_FIXED.xlsx]Study Export'!AU$3,"")</f>
        <v/>
      </c>
      <c r="AV7" s="47">
        <f>IFERROR('[P002_LingoCGM_CGM_Report_FIXED.xlsx]Study Export'!AV$3,"")</f>
        <v/>
      </c>
      <c r="AW7" s="56">
        <f>IFERROR('[P002_LingoCGM_CGM_Report_FIXED.xlsx]Study Export'!AW$3,"")</f>
        <v/>
      </c>
      <c r="AX7" s="56">
        <f>IFERROR('[P002_LingoCGM_CGM_Report_FIXED.xlsx]Study Export'!AX$3,"")</f>
        <v/>
      </c>
      <c r="AY7" s="56">
        <f>IFERROR('[P002_LingoCGM_CGM_Report_FIXED.xlsx]Study Export'!AY$3,"")</f>
        <v/>
      </c>
      <c r="AZ7" s="47">
        <f>IFERROR('[P002_LingoCGM_CGM_Report_FIXED.xlsx]Study Export'!AZ$3,"")</f>
        <v/>
      </c>
      <c r="BA7" s="47">
        <f>IFERROR('[P002_LingoCGM_CGM_Report_FIXED.xlsx]Study Export'!BA$3,"")</f>
        <v/>
      </c>
      <c r="BB7" s="47">
        <f>IFERROR('[P002_LingoCGM_CGM_Report_FIXED.xlsx]Study Export'!BB$3,"")</f>
        <v/>
      </c>
      <c r="BC7" s="27">
        <f>IFERROR('[P002_LingoCGM_CGM_Report_FIXED.xlsx]Study Export'!BC$3,"")</f>
        <v/>
      </c>
      <c r="BD7" s="27">
        <f>IFERROR('[P002_LingoCGM_CGM_Report_FIXED.xlsx]Study Export'!BD$3,"")</f>
        <v/>
      </c>
      <c r="BE7" s="27">
        <f>IFERROR('[P002_LingoCGM_CGM_Report_FIXED.xlsx]Study Export'!BE$3,"")</f>
        <v/>
      </c>
      <c r="BF7" s="47">
        <f>IFERROR('[P002_LingoCGM_CGM_Report_FIXED.xlsx]Study Export'!BF$3,"")</f>
        <v/>
      </c>
      <c r="BG7" s="47">
        <f>IFERROR('[P002_LingoCGM_CGM_Report_FIXED.xlsx]Study Export'!BG$3,"")</f>
        <v/>
      </c>
      <c r="BH7" s="47">
        <f>IFERROR('[P002_LingoCGM_CGM_Report_FIXED.xlsx]Study Export'!BH$3,"")</f>
        <v/>
      </c>
      <c r="BI7" s="47">
        <f>IFERROR('[P002_LingoCGM_CGM_Report_FIXED.xlsx]Study Export'!BI$3,"")</f>
        <v/>
      </c>
      <c r="BJ7" s="47">
        <f>IFERROR('[P002_LingoCGM_CGM_Report_FIXED.xlsx]Study Export'!BJ$3,"")</f>
        <v/>
      </c>
      <c r="BK7" s="47">
        <f>IFERROR('[P002_LingoCGM_CGM_Report_FIXED.xlsx]Study Export'!BK$3,"")</f>
        <v/>
      </c>
      <c r="BL7" s="47">
        <f>IFERROR('[P002_LingoCGM_CGM_Report_FIXED.xlsx]Study Export'!BL$3,"")</f>
        <v/>
      </c>
      <c r="BM7" s="47">
        <f>IFERROR('[P002_LingoCGM_CGM_Report_FIXED.xlsx]Study Export'!BM$3,"")</f>
        <v/>
      </c>
      <c r="BN7" s="47">
        <f>IFERROR('[P002_LingoCGM_CGM_Report_FIXED.xlsx]Study Export'!BN$3,"")</f>
        <v/>
      </c>
      <c r="BO7" s="47">
        <f>IFERROR('[P002_LingoCGM_CGM_Report_FIXED.xlsx]Study Export'!BO$3,"")</f>
        <v/>
      </c>
      <c r="BP7" s="47">
        <f>IFERROR('[P002_LingoCGM_CGM_Report_FIXED.xlsx]Study Export'!BP$3,"")</f>
        <v/>
      </c>
      <c r="BQ7" s="47">
        <f>IFERROR('[P002_LingoCGM_CGM_Report_FIXED.xlsx]Study Export'!BQ$3,"")</f>
        <v/>
      </c>
      <c r="BR7" s="47">
        <f>IFERROR('[P002_LingoCGM_CGM_Report_FIXED.xlsx]Study Export'!BR$3,"")</f>
        <v/>
      </c>
      <c r="BS7" s="47">
        <f>IFERROR('[P002_LingoCGM_CGM_Report_FIXED.xlsx]Study Export'!BS$3,"")</f>
        <v/>
      </c>
      <c r="BT7" s="47">
        <f>IFERROR('[P002_LingoCGM_CGM_Report_FIXED.xlsx]Study Export'!BT$3,"")</f>
        <v/>
      </c>
      <c r="BU7" s="47">
        <f>IFERROR('[P002_LingoCGM_CGM_Report_FIXED.xlsx]Study Export'!BU$3,"")</f>
        <v/>
      </c>
      <c r="BV7" s="47">
        <f>IFERROR('[P002_LingoCGM_CGM_Report_FIXED.xlsx]Study Export'!BV$3,"")</f>
        <v/>
      </c>
      <c r="BW7" s="47">
        <f>IFERROR('[P002_LingoCGM_CGM_Report_FIXED.xlsx]Study Export'!BW$3,"")</f>
        <v/>
      </c>
      <c r="BX7">
        <f>IFERROR('[P002_LingoCGM_CGM_Report_FIXED.xlsx]Study Export'!BX$3,"")</f>
        <v/>
      </c>
      <c r="BY7" s="57">
        <f>IFERROR('[P002_LingoCGM_CGM_Report_FIXED.xlsx]Study Export'!BY$3,"")</f>
        <v/>
      </c>
      <c r="BZ7" s="57">
        <f>IFERROR('[P002_LingoCGM_CGM_Report_FIXED.xlsx]Study Export'!BZ$3,"")</f>
        <v/>
      </c>
      <c r="CA7" s="57">
        <f>IFERROR('[P002_LingoCGM_CGM_Report_FIXED.xlsx]Study Export'!CA$3,"")</f>
        <v/>
      </c>
      <c r="CB7" s="58">
        <f>IFERROR('[P002_LingoCGM_CGM_Report_FIXED.xlsx]Study Export'!CB$3,"")</f>
        <v/>
      </c>
      <c r="CC7" s="59">
        <f>IFERROR('[P002_LingoCGM_CGM_Report_FIXED.xlsx]Study Export'!CC$3,"")</f>
        <v/>
      </c>
      <c r="CD7">
        <f>IFERROR('[P002_LingoCGM_CGM_Report_FIXED.xlsx]Study Export'!CD$3,"")</f>
        <v/>
      </c>
      <c r="CE7">
        <f>IFERROR('[P002_LingoCGM_CGM_Report_FIXED.xlsx]Study Export'!CE$3,"")</f>
        <v/>
      </c>
      <c r="CF7" s="60">
        <f>IFERROR('[P002_LingoCGM_CGM_Report_FIXED.xlsx]Study Export'!CF$3,"")</f>
        <v/>
      </c>
      <c r="CG7" s="60">
        <f>IFERROR('[P002_LingoCGM_CGM_Report_FIXED.xlsx]Study Export'!CG$3,"")</f>
        <v/>
      </c>
      <c r="CH7">
        <f>IFERROR('[P002_LingoCGM_CGM_Report_FIXED.xlsx]Study Export'!CH$3,"")</f>
        <v/>
      </c>
    </row>
    <row r="8">
      <c r="A8" s="24">
        <f>IFERROR('[P003_LingoCGM_CGM_Report_FIXED.xlsx]Study Export'!A$3,"")</f>
        <v/>
      </c>
      <c r="B8" s="24">
        <f>IFERROR('[P003_LingoCGM_CGM_Report_FIXED.xlsx]Study Export'!B$3,"")</f>
        <v/>
      </c>
      <c r="C8" s="24">
        <f>IFERROR('[P003_LingoCGM_CGM_Report_FIXED.xlsx]Study Export'!C$3,"")</f>
        <v/>
      </c>
      <c r="D8" s="24">
        <f>IFERROR('[P003_LingoCGM_CGM_Report_FIXED.xlsx]Study Export'!D$3,"")</f>
        <v/>
      </c>
      <c r="E8" s="55">
        <f>IFERROR('[P003_LingoCGM_CGM_Report_FIXED.xlsx]Study Export'!E$3,"")</f>
        <v/>
      </c>
      <c r="F8" s="26">
        <f>IFERROR('[P003_LingoCGM_CGM_Report_FIXED.xlsx]Study Export'!F$3,"")</f>
        <v/>
      </c>
      <c r="G8" s="26">
        <f>IFERROR('[P003_LingoCGM_CGM_Report_FIXED.xlsx]Study Export'!G$3,"")</f>
        <v/>
      </c>
      <c r="H8" s="47">
        <f>IFERROR('[P003_LingoCGM_CGM_Report_FIXED.xlsx]Study Export'!H$3,"")</f>
        <v/>
      </c>
      <c r="I8" s="26">
        <f>IFERROR('[P003_LingoCGM_CGM_Report_FIXED.xlsx]Study Export'!I$3,"")</f>
        <v/>
      </c>
      <c r="J8" s="26">
        <f>IFERROR('[P003_LingoCGM_CGM_Report_FIXED.xlsx]Study Export'!J$3,"")</f>
        <v/>
      </c>
      <c r="K8" s="47">
        <f>IFERROR('[P003_LingoCGM_CGM_Report_FIXED.xlsx]Study Export'!K$3,"")</f>
        <v/>
      </c>
      <c r="L8" s="47">
        <f>IFERROR('[P003_LingoCGM_CGM_Report_FIXED.xlsx]Study Export'!L$3,"")</f>
        <v/>
      </c>
      <c r="M8" s="47">
        <f>IFERROR('[P003_LingoCGM_CGM_Report_FIXED.xlsx]Study Export'!M$3,"")</f>
        <v/>
      </c>
      <c r="N8" s="47">
        <f>IFERROR('[P003_LingoCGM_CGM_Report_FIXED.xlsx]Study Export'!N$3,"")</f>
        <v/>
      </c>
      <c r="O8" s="47">
        <f>IFERROR('[P003_LingoCGM_CGM_Report_FIXED.xlsx]Study Export'!O$3,"")</f>
        <v/>
      </c>
      <c r="P8" s="27">
        <f>IFERROR('[P003_LingoCGM_CGM_Report_FIXED.xlsx]Study Export'!P$3,"")</f>
        <v/>
      </c>
      <c r="Q8" s="27">
        <f>IFERROR('[P003_LingoCGM_CGM_Report_FIXED.xlsx]Study Export'!Q$3,"")</f>
        <v/>
      </c>
      <c r="R8" s="27">
        <f>IFERROR('[P003_LingoCGM_CGM_Report_FIXED.xlsx]Study Export'!R$3,"")</f>
        <v/>
      </c>
      <c r="S8" s="56">
        <f>IFERROR('[P003_LingoCGM_CGM_Report_FIXED.xlsx]Study Export'!S$3,"")</f>
        <v/>
      </c>
      <c r="T8" s="56">
        <f>IFERROR('[P003_LingoCGM_CGM_Report_FIXED.xlsx]Study Export'!T$3,"")</f>
        <v/>
      </c>
      <c r="U8" s="56">
        <f>IFERROR('[P003_LingoCGM_CGM_Report_FIXED.xlsx]Study Export'!U$3,"")</f>
        <v/>
      </c>
      <c r="V8" s="56">
        <f>IFERROR('[P003_LingoCGM_CGM_Report_FIXED.xlsx]Study Export'!V$3,"")</f>
        <v/>
      </c>
      <c r="W8" s="56">
        <f>IFERROR('[P003_LingoCGM_CGM_Report_FIXED.xlsx]Study Export'!W$3,"")</f>
        <v/>
      </c>
      <c r="X8" s="56">
        <f>IFERROR('[P003_LingoCGM_CGM_Report_FIXED.xlsx]Study Export'!X$3,"")</f>
        <v/>
      </c>
      <c r="Y8" s="56">
        <f>IFERROR('[P003_LingoCGM_CGM_Report_FIXED.xlsx]Study Export'!Y$3,"")</f>
        <v/>
      </c>
      <c r="Z8" s="56">
        <f>IFERROR('[P003_LingoCGM_CGM_Report_FIXED.xlsx]Study Export'!Z$3,"")</f>
        <v/>
      </c>
      <c r="AA8" s="56">
        <f>IFERROR('[P003_LingoCGM_CGM_Report_FIXED.xlsx]Study Export'!AA$3,"")</f>
        <v/>
      </c>
      <c r="AB8" s="56">
        <f>IFERROR('[P003_LingoCGM_CGM_Report_FIXED.xlsx]Study Export'!AB$3,"")</f>
        <v/>
      </c>
      <c r="AC8" s="56">
        <f>IFERROR('[P003_LingoCGM_CGM_Report_FIXED.xlsx]Study Export'!AC$3,"")</f>
        <v/>
      </c>
      <c r="AD8" s="56">
        <f>IFERROR('[P003_LingoCGM_CGM_Report_FIXED.xlsx]Study Export'!AD$3,"")</f>
        <v/>
      </c>
      <c r="AE8" s="56">
        <f>IFERROR('[P003_LingoCGM_CGM_Report_FIXED.xlsx]Study Export'!AE$3,"")</f>
        <v/>
      </c>
      <c r="AF8" s="56">
        <f>IFERROR('[P003_LingoCGM_CGM_Report_FIXED.xlsx]Study Export'!AF$3,"")</f>
        <v/>
      </c>
      <c r="AG8" s="56">
        <f>IFERROR('[P003_LingoCGM_CGM_Report_FIXED.xlsx]Study Export'!AG$3,"")</f>
        <v/>
      </c>
      <c r="AH8" s="27">
        <f>IFERROR('[P003_LingoCGM_CGM_Report_FIXED.xlsx]Study Export'!AH$3,"")</f>
        <v/>
      </c>
      <c r="AI8" s="27">
        <f>IFERROR('[P003_LingoCGM_CGM_Report_FIXED.xlsx]Study Export'!AI$3,"")</f>
        <v/>
      </c>
      <c r="AJ8" s="27">
        <f>IFERROR('[P003_LingoCGM_CGM_Report_FIXED.xlsx]Study Export'!AJ$3,"")</f>
        <v/>
      </c>
      <c r="AK8" s="27">
        <f>IFERROR('[P003_LingoCGM_CGM_Report_FIXED.xlsx]Study Export'!AK$3,"")</f>
        <v/>
      </c>
      <c r="AL8" s="27">
        <f>IFERROR('[P003_LingoCGM_CGM_Report_FIXED.xlsx]Study Export'!AL$3,"")</f>
        <v/>
      </c>
      <c r="AM8" s="27">
        <f>IFERROR('[P003_LingoCGM_CGM_Report_FIXED.xlsx]Study Export'!AM$3,"")</f>
        <v/>
      </c>
      <c r="AN8" s="27">
        <f>IFERROR('[P003_LingoCGM_CGM_Report_FIXED.xlsx]Study Export'!AN$3,"")</f>
        <v/>
      </c>
      <c r="AO8" s="27">
        <f>IFERROR('[P003_LingoCGM_CGM_Report_FIXED.xlsx]Study Export'!AO$3,"")</f>
        <v/>
      </c>
      <c r="AP8" s="27">
        <f>IFERROR('[P003_LingoCGM_CGM_Report_FIXED.xlsx]Study Export'!AP$3,"")</f>
        <v/>
      </c>
      <c r="AQ8" s="27">
        <f>IFERROR('[P003_LingoCGM_CGM_Report_FIXED.xlsx]Study Export'!AQ$3,"")</f>
        <v/>
      </c>
      <c r="AR8" s="27">
        <f>IFERROR('[P003_LingoCGM_CGM_Report_FIXED.xlsx]Study Export'!AR$3,"")</f>
        <v/>
      </c>
      <c r="AS8" s="27">
        <f>IFERROR('[P003_LingoCGM_CGM_Report_FIXED.xlsx]Study Export'!AS$3,"")</f>
        <v/>
      </c>
      <c r="AT8" s="47">
        <f>IFERROR('[P003_LingoCGM_CGM_Report_FIXED.xlsx]Study Export'!AT$3,"")</f>
        <v/>
      </c>
      <c r="AU8" s="47">
        <f>IFERROR('[P003_LingoCGM_CGM_Report_FIXED.xlsx]Study Export'!AU$3,"")</f>
        <v/>
      </c>
      <c r="AV8" s="47">
        <f>IFERROR('[P003_LingoCGM_CGM_Report_FIXED.xlsx]Study Export'!AV$3,"")</f>
        <v/>
      </c>
      <c r="AW8" s="56">
        <f>IFERROR('[P003_LingoCGM_CGM_Report_FIXED.xlsx]Study Export'!AW$3,"")</f>
        <v/>
      </c>
      <c r="AX8" s="56">
        <f>IFERROR('[P003_LingoCGM_CGM_Report_FIXED.xlsx]Study Export'!AX$3,"")</f>
        <v/>
      </c>
      <c r="AY8" s="56">
        <f>IFERROR('[P003_LingoCGM_CGM_Report_FIXED.xlsx]Study Export'!AY$3,"")</f>
        <v/>
      </c>
      <c r="AZ8" s="47">
        <f>IFERROR('[P003_LingoCGM_CGM_Report_FIXED.xlsx]Study Export'!AZ$3,"")</f>
        <v/>
      </c>
      <c r="BA8" s="47">
        <f>IFERROR('[P003_LingoCGM_CGM_Report_FIXED.xlsx]Study Export'!BA$3,"")</f>
        <v/>
      </c>
      <c r="BB8" s="47">
        <f>IFERROR('[P003_LingoCGM_CGM_Report_FIXED.xlsx]Study Export'!BB$3,"")</f>
        <v/>
      </c>
      <c r="BC8" s="27">
        <f>IFERROR('[P003_LingoCGM_CGM_Report_FIXED.xlsx]Study Export'!BC$3,"")</f>
        <v/>
      </c>
      <c r="BD8" s="27">
        <f>IFERROR('[P003_LingoCGM_CGM_Report_FIXED.xlsx]Study Export'!BD$3,"")</f>
        <v/>
      </c>
      <c r="BE8" s="27">
        <f>IFERROR('[P003_LingoCGM_CGM_Report_FIXED.xlsx]Study Export'!BE$3,"")</f>
        <v/>
      </c>
      <c r="BF8" s="47">
        <f>IFERROR('[P003_LingoCGM_CGM_Report_FIXED.xlsx]Study Export'!BF$3,"")</f>
        <v/>
      </c>
      <c r="BG8" s="47">
        <f>IFERROR('[P003_LingoCGM_CGM_Report_FIXED.xlsx]Study Export'!BG$3,"")</f>
        <v/>
      </c>
      <c r="BH8" s="47">
        <f>IFERROR('[P003_LingoCGM_CGM_Report_FIXED.xlsx]Study Export'!BH$3,"")</f>
        <v/>
      </c>
      <c r="BI8" s="47">
        <f>IFERROR('[P003_LingoCGM_CGM_Report_FIXED.xlsx]Study Export'!BI$3,"")</f>
        <v/>
      </c>
      <c r="BJ8" s="47">
        <f>IFERROR('[P003_LingoCGM_CGM_Report_FIXED.xlsx]Study Export'!BJ$3,"")</f>
        <v/>
      </c>
      <c r="BK8" s="47">
        <f>IFERROR('[P003_LingoCGM_CGM_Report_FIXED.xlsx]Study Export'!BK$3,"")</f>
        <v/>
      </c>
      <c r="BL8" s="47">
        <f>IFERROR('[P003_LingoCGM_CGM_Report_FIXED.xlsx]Study Export'!BL$3,"")</f>
        <v/>
      </c>
      <c r="BM8" s="47">
        <f>IFERROR('[P003_LingoCGM_CGM_Report_FIXED.xlsx]Study Export'!BM$3,"")</f>
        <v/>
      </c>
      <c r="BN8" s="47">
        <f>IFERROR('[P003_LingoCGM_CGM_Report_FIXED.xlsx]Study Export'!BN$3,"")</f>
        <v/>
      </c>
      <c r="BO8" s="47">
        <f>IFERROR('[P003_LingoCGM_CGM_Report_FIXED.xlsx]Study Export'!BO$3,"")</f>
        <v/>
      </c>
      <c r="BP8" s="47">
        <f>IFERROR('[P003_LingoCGM_CGM_Report_FIXED.xlsx]Study Export'!BP$3,"")</f>
        <v/>
      </c>
      <c r="BQ8" s="47">
        <f>IFERROR('[P003_LingoCGM_CGM_Report_FIXED.xlsx]Study Export'!BQ$3,"")</f>
        <v/>
      </c>
      <c r="BR8" s="47">
        <f>IFERROR('[P003_LingoCGM_CGM_Report_FIXED.xlsx]Study Export'!BR$3,"")</f>
        <v/>
      </c>
      <c r="BS8" s="47">
        <f>IFERROR('[P003_LingoCGM_CGM_Report_FIXED.xlsx]Study Export'!BS$3,"")</f>
        <v/>
      </c>
      <c r="BT8" s="47">
        <f>IFERROR('[P003_LingoCGM_CGM_Report_FIXED.xlsx]Study Export'!BT$3,"")</f>
        <v/>
      </c>
      <c r="BU8" s="47">
        <f>IFERROR('[P003_LingoCGM_CGM_Report_FIXED.xlsx]Study Export'!BU$3,"")</f>
        <v/>
      </c>
      <c r="BV8" s="47">
        <f>IFERROR('[P003_LingoCGM_CGM_Report_FIXED.xlsx]Study Export'!BV$3,"")</f>
        <v/>
      </c>
      <c r="BW8" s="47">
        <f>IFERROR('[P003_LingoCGM_CGM_Report_FIXED.xlsx]Study Export'!BW$3,"")</f>
        <v/>
      </c>
      <c r="BX8">
        <f>IFERROR('[P003_LingoCGM_CGM_Report_FIXED.xlsx]Study Export'!BX$3,"")</f>
        <v/>
      </c>
      <c r="BY8" s="57">
        <f>IFERROR('[P003_LingoCGM_CGM_Report_FIXED.xlsx]Study Export'!BY$3,"")</f>
        <v/>
      </c>
      <c r="BZ8" s="57">
        <f>IFERROR('[P003_LingoCGM_CGM_Report_FIXED.xlsx]Study Export'!BZ$3,"")</f>
        <v/>
      </c>
      <c r="CA8" s="57">
        <f>IFERROR('[P003_LingoCGM_CGM_Report_FIXED.xlsx]Study Export'!CA$3,"")</f>
        <v/>
      </c>
      <c r="CB8" s="58">
        <f>IFERROR('[P003_LingoCGM_CGM_Report_FIXED.xlsx]Study Export'!CB$3,"")</f>
        <v/>
      </c>
      <c r="CC8" s="59">
        <f>IFERROR('[P003_LingoCGM_CGM_Report_FIXED.xlsx]Study Export'!CC$3,"")</f>
        <v/>
      </c>
      <c r="CD8">
        <f>IFERROR('[P003_LingoCGM_CGM_Report_FIXED.xlsx]Study Export'!CD$3,"")</f>
        <v/>
      </c>
      <c r="CE8">
        <f>IFERROR('[P003_LingoCGM_CGM_Report_FIXED.xlsx]Study Export'!CE$3,"")</f>
        <v/>
      </c>
      <c r="CF8" s="60">
        <f>IFERROR('[P003_LingoCGM_CGM_Report_FIXED.xlsx]Study Export'!CF$3,"")</f>
        <v/>
      </c>
      <c r="CG8" s="60">
        <f>IFERROR('[P003_LingoCGM_CGM_Report_FIXED.xlsx]Study Export'!CG$3,"")</f>
        <v/>
      </c>
      <c r="CH8">
        <f>IFERROR('[P003_LingoCGM_CGM_Report_FIXED.xlsx]Study Export'!CH$3,"")</f>
        <v/>
      </c>
    </row>
    <row r="9">
      <c r="A9" s="24">
        <f>IFERROR('[P004_LingoCGM_CGM_Report_FIXED.xlsx]Study Export'!A$3,"")</f>
        <v/>
      </c>
      <c r="B9" s="24">
        <f>IFERROR('[P004_LingoCGM_CGM_Report_FIXED.xlsx]Study Export'!B$3,"")</f>
        <v/>
      </c>
      <c r="C9" s="24">
        <f>IFERROR('[P004_LingoCGM_CGM_Report_FIXED.xlsx]Study Export'!C$3,"")</f>
        <v/>
      </c>
      <c r="D9" s="24">
        <f>IFERROR('[P004_LingoCGM_CGM_Report_FIXED.xlsx]Study Export'!D$3,"")</f>
        <v/>
      </c>
      <c r="E9" s="55">
        <f>IFERROR('[P004_LingoCGM_CGM_Report_FIXED.xlsx]Study Export'!E$3,"")</f>
        <v/>
      </c>
      <c r="F9" s="26">
        <f>IFERROR('[P004_LingoCGM_CGM_Report_FIXED.xlsx]Study Export'!F$3,"")</f>
        <v/>
      </c>
      <c r="G9" s="26">
        <f>IFERROR('[P004_LingoCGM_CGM_Report_FIXED.xlsx]Study Export'!G$3,"")</f>
        <v/>
      </c>
      <c r="H9" s="47">
        <f>IFERROR('[P004_LingoCGM_CGM_Report_FIXED.xlsx]Study Export'!H$3,"")</f>
        <v/>
      </c>
      <c r="I9" s="26">
        <f>IFERROR('[P004_LingoCGM_CGM_Report_FIXED.xlsx]Study Export'!I$3,"")</f>
        <v/>
      </c>
      <c r="J9" s="26">
        <f>IFERROR('[P004_LingoCGM_CGM_Report_FIXED.xlsx]Study Export'!J$3,"")</f>
        <v/>
      </c>
      <c r="K9" s="47">
        <f>IFERROR('[P004_LingoCGM_CGM_Report_FIXED.xlsx]Study Export'!K$3,"")</f>
        <v/>
      </c>
      <c r="L9" s="47">
        <f>IFERROR('[P004_LingoCGM_CGM_Report_FIXED.xlsx]Study Export'!L$3,"")</f>
        <v/>
      </c>
      <c r="M9" s="47">
        <f>IFERROR('[P004_LingoCGM_CGM_Report_FIXED.xlsx]Study Export'!M$3,"")</f>
        <v/>
      </c>
      <c r="N9" s="47">
        <f>IFERROR('[P004_LingoCGM_CGM_Report_FIXED.xlsx]Study Export'!N$3,"")</f>
        <v/>
      </c>
      <c r="O9" s="47">
        <f>IFERROR('[P004_LingoCGM_CGM_Report_FIXED.xlsx]Study Export'!O$3,"")</f>
        <v/>
      </c>
      <c r="P9" s="27">
        <f>IFERROR('[P004_LingoCGM_CGM_Report_FIXED.xlsx]Study Export'!P$3,"")</f>
        <v/>
      </c>
      <c r="Q9" s="27">
        <f>IFERROR('[P004_LingoCGM_CGM_Report_FIXED.xlsx]Study Export'!Q$3,"")</f>
        <v/>
      </c>
      <c r="R9" s="27">
        <f>IFERROR('[P004_LingoCGM_CGM_Report_FIXED.xlsx]Study Export'!R$3,"")</f>
        <v/>
      </c>
      <c r="S9" s="56">
        <f>IFERROR('[P004_LingoCGM_CGM_Report_FIXED.xlsx]Study Export'!S$3,"")</f>
        <v/>
      </c>
      <c r="T9" s="56">
        <f>IFERROR('[P004_LingoCGM_CGM_Report_FIXED.xlsx]Study Export'!T$3,"")</f>
        <v/>
      </c>
      <c r="U9" s="56">
        <f>IFERROR('[P004_LingoCGM_CGM_Report_FIXED.xlsx]Study Export'!U$3,"")</f>
        <v/>
      </c>
      <c r="V9" s="56">
        <f>IFERROR('[P004_LingoCGM_CGM_Report_FIXED.xlsx]Study Export'!V$3,"")</f>
        <v/>
      </c>
      <c r="W9" s="56">
        <f>IFERROR('[P004_LingoCGM_CGM_Report_FIXED.xlsx]Study Export'!W$3,"")</f>
        <v/>
      </c>
      <c r="X9" s="56">
        <f>IFERROR('[P004_LingoCGM_CGM_Report_FIXED.xlsx]Study Export'!X$3,"")</f>
        <v/>
      </c>
      <c r="Y9" s="56">
        <f>IFERROR('[P004_LingoCGM_CGM_Report_FIXED.xlsx]Study Export'!Y$3,"")</f>
        <v/>
      </c>
      <c r="Z9" s="56">
        <f>IFERROR('[P004_LingoCGM_CGM_Report_FIXED.xlsx]Study Export'!Z$3,"")</f>
        <v/>
      </c>
      <c r="AA9" s="56">
        <f>IFERROR('[P004_LingoCGM_CGM_Report_FIXED.xlsx]Study Export'!AA$3,"")</f>
        <v/>
      </c>
      <c r="AB9" s="56">
        <f>IFERROR('[P004_LingoCGM_CGM_Report_FIXED.xlsx]Study Export'!AB$3,"")</f>
        <v/>
      </c>
      <c r="AC9" s="56">
        <f>IFERROR('[P004_LingoCGM_CGM_Report_FIXED.xlsx]Study Export'!AC$3,"")</f>
        <v/>
      </c>
      <c r="AD9" s="56">
        <f>IFERROR('[P004_LingoCGM_CGM_Report_FIXED.xlsx]Study Export'!AD$3,"")</f>
        <v/>
      </c>
      <c r="AE9" s="56">
        <f>IFERROR('[P004_LingoCGM_CGM_Report_FIXED.xlsx]Study Export'!AE$3,"")</f>
        <v/>
      </c>
      <c r="AF9" s="56">
        <f>IFERROR('[P004_LingoCGM_CGM_Report_FIXED.xlsx]Study Export'!AF$3,"")</f>
        <v/>
      </c>
      <c r="AG9" s="56">
        <f>IFERROR('[P004_LingoCGM_CGM_Report_FIXED.xlsx]Study Export'!AG$3,"")</f>
        <v/>
      </c>
      <c r="AH9" s="27">
        <f>IFERROR('[P004_LingoCGM_CGM_Report_FIXED.xlsx]Study Export'!AH$3,"")</f>
        <v/>
      </c>
      <c r="AI9" s="27">
        <f>IFERROR('[P004_LingoCGM_CGM_Report_FIXED.xlsx]Study Export'!AI$3,"")</f>
        <v/>
      </c>
      <c r="AJ9" s="27">
        <f>IFERROR('[P004_LingoCGM_CGM_Report_FIXED.xlsx]Study Export'!AJ$3,"")</f>
        <v/>
      </c>
      <c r="AK9" s="27">
        <f>IFERROR('[P004_LingoCGM_CGM_Report_FIXED.xlsx]Study Export'!AK$3,"")</f>
        <v/>
      </c>
      <c r="AL9" s="27">
        <f>IFERROR('[P004_LingoCGM_CGM_Report_FIXED.xlsx]Study Export'!AL$3,"")</f>
        <v/>
      </c>
      <c r="AM9" s="27">
        <f>IFERROR('[P004_LingoCGM_CGM_Report_FIXED.xlsx]Study Export'!AM$3,"")</f>
        <v/>
      </c>
      <c r="AN9" s="27">
        <f>IFERROR('[P004_LingoCGM_CGM_Report_FIXED.xlsx]Study Export'!AN$3,"")</f>
        <v/>
      </c>
      <c r="AO9" s="27">
        <f>IFERROR('[P004_LingoCGM_CGM_Report_FIXED.xlsx]Study Export'!AO$3,"")</f>
        <v/>
      </c>
      <c r="AP9" s="27">
        <f>IFERROR('[P004_LingoCGM_CGM_Report_FIXED.xlsx]Study Export'!AP$3,"")</f>
        <v/>
      </c>
      <c r="AQ9" s="27">
        <f>IFERROR('[P004_LingoCGM_CGM_Report_FIXED.xlsx]Study Export'!AQ$3,"")</f>
        <v/>
      </c>
      <c r="AR9" s="27">
        <f>IFERROR('[P004_LingoCGM_CGM_Report_FIXED.xlsx]Study Export'!AR$3,"")</f>
        <v/>
      </c>
      <c r="AS9" s="27">
        <f>IFERROR('[P004_LingoCGM_CGM_Report_FIXED.xlsx]Study Export'!AS$3,"")</f>
        <v/>
      </c>
      <c r="AT9" s="47">
        <f>IFERROR('[P004_LingoCGM_CGM_Report_FIXED.xlsx]Study Export'!AT$3,"")</f>
        <v/>
      </c>
      <c r="AU9" s="47">
        <f>IFERROR('[P004_LingoCGM_CGM_Report_FIXED.xlsx]Study Export'!AU$3,"")</f>
        <v/>
      </c>
      <c r="AV9" s="47">
        <f>IFERROR('[P004_LingoCGM_CGM_Report_FIXED.xlsx]Study Export'!AV$3,"")</f>
        <v/>
      </c>
      <c r="AW9" s="56">
        <f>IFERROR('[P004_LingoCGM_CGM_Report_FIXED.xlsx]Study Export'!AW$3,"")</f>
        <v/>
      </c>
      <c r="AX9" s="56">
        <f>IFERROR('[P004_LingoCGM_CGM_Report_FIXED.xlsx]Study Export'!AX$3,"")</f>
        <v/>
      </c>
      <c r="AY9" s="56">
        <f>IFERROR('[P004_LingoCGM_CGM_Report_FIXED.xlsx]Study Export'!AY$3,"")</f>
        <v/>
      </c>
      <c r="AZ9" s="47">
        <f>IFERROR('[P004_LingoCGM_CGM_Report_FIXED.xlsx]Study Export'!AZ$3,"")</f>
        <v/>
      </c>
      <c r="BA9" s="47">
        <f>IFERROR('[P004_LingoCGM_CGM_Report_FIXED.xlsx]Study Export'!BA$3,"")</f>
        <v/>
      </c>
      <c r="BB9" s="47">
        <f>IFERROR('[P004_LingoCGM_CGM_Report_FIXED.xlsx]Study Export'!BB$3,"")</f>
        <v/>
      </c>
      <c r="BC9" s="27">
        <f>IFERROR('[P004_LingoCGM_CGM_Report_FIXED.xlsx]Study Export'!BC$3,"")</f>
        <v/>
      </c>
      <c r="BD9" s="27">
        <f>IFERROR('[P004_LingoCGM_CGM_Report_FIXED.xlsx]Study Export'!BD$3,"")</f>
        <v/>
      </c>
      <c r="BE9" s="27">
        <f>IFERROR('[P004_LingoCGM_CGM_Report_FIXED.xlsx]Study Export'!BE$3,"")</f>
        <v/>
      </c>
      <c r="BF9" s="47">
        <f>IFERROR('[P004_LingoCGM_CGM_Report_FIXED.xlsx]Study Export'!BF$3,"")</f>
        <v/>
      </c>
      <c r="BG9" s="47">
        <f>IFERROR('[P004_LingoCGM_CGM_Report_FIXED.xlsx]Study Export'!BG$3,"")</f>
        <v/>
      </c>
      <c r="BH9" s="47">
        <f>IFERROR('[P004_LingoCGM_CGM_Report_FIXED.xlsx]Study Export'!BH$3,"")</f>
        <v/>
      </c>
      <c r="BI9" s="47">
        <f>IFERROR('[P004_LingoCGM_CGM_Report_FIXED.xlsx]Study Export'!BI$3,"")</f>
        <v/>
      </c>
      <c r="BJ9" s="47">
        <f>IFERROR('[P004_LingoCGM_CGM_Report_FIXED.xlsx]Study Export'!BJ$3,"")</f>
        <v/>
      </c>
      <c r="BK9" s="47">
        <f>IFERROR('[P004_LingoCGM_CGM_Report_FIXED.xlsx]Study Export'!BK$3,"")</f>
        <v/>
      </c>
      <c r="BL9" s="47">
        <f>IFERROR('[P004_LingoCGM_CGM_Report_FIXED.xlsx]Study Export'!BL$3,"")</f>
        <v/>
      </c>
      <c r="BM9" s="47">
        <f>IFERROR('[P004_LingoCGM_CGM_Report_FIXED.xlsx]Study Export'!BM$3,"")</f>
        <v/>
      </c>
      <c r="BN9" s="47">
        <f>IFERROR('[P004_LingoCGM_CGM_Report_FIXED.xlsx]Study Export'!BN$3,"")</f>
        <v/>
      </c>
      <c r="BO9" s="47">
        <f>IFERROR('[P004_LingoCGM_CGM_Report_FIXED.xlsx]Study Export'!BO$3,"")</f>
        <v/>
      </c>
      <c r="BP9" s="47">
        <f>IFERROR('[P004_LingoCGM_CGM_Report_FIXED.xlsx]Study Export'!BP$3,"")</f>
        <v/>
      </c>
      <c r="BQ9" s="47">
        <f>IFERROR('[P004_LingoCGM_CGM_Report_FIXED.xlsx]Study Export'!BQ$3,"")</f>
        <v/>
      </c>
      <c r="BR9" s="47">
        <f>IFERROR('[P004_LingoCGM_CGM_Report_FIXED.xlsx]Study Export'!BR$3,"")</f>
        <v/>
      </c>
      <c r="BS9" s="47">
        <f>IFERROR('[P004_LingoCGM_CGM_Report_FIXED.xlsx]Study Export'!BS$3,"")</f>
        <v/>
      </c>
      <c r="BT9" s="47">
        <f>IFERROR('[P004_LingoCGM_CGM_Report_FIXED.xlsx]Study Export'!BT$3,"")</f>
        <v/>
      </c>
      <c r="BU9" s="47">
        <f>IFERROR('[P004_LingoCGM_CGM_Report_FIXED.xlsx]Study Export'!BU$3,"")</f>
        <v/>
      </c>
      <c r="BV9" s="47">
        <f>IFERROR('[P004_LingoCGM_CGM_Report_FIXED.xlsx]Study Export'!BV$3,"")</f>
        <v/>
      </c>
      <c r="BW9" s="47">
        <f>IFERROR('[P004_LingoCGM_CGM_Report_FIXED.xlsx]Study Export'!BW$3,"")</f>
        <v/>
      </c>
      <c r="BX9">
        <f>IFERROR('[P004_LingoCGM_CGM_Report_FIXED.xlsx]Study Export'!BX$3,"")</f>
        <v/>
      </c>
      <c r="BY9" s="57">
        <f>IFERROR('[P004_LingoCGM_CGM_Report_FIXED.xlsx]Study Export'!BY$3,"")</f>
        <v/>
      </c>
      <c r="BZ9" s="57">
        <f>IFERROR('[P004_LingoCGM_CGM_Report_FIXED.xlsx]Study Export'!BZ$3,"")</f>
        <v/>
      </c>
      <c r="CA9" s="57">
        <f>IFERROR('[P004_LingoCGM_CGM_Report_FIXED.xlsx]Study Export'!CA$3,"")</f>
        <v/>
      </c>
      <c r="CB9" s="58">
        <f>IFERROR('[P004_LingoCGM_CGM_Report_FIXED.xlsx]Study Export'!CB$3,"")</f>
        <v/>
      </c>
      <c r="CC9" s="59">
        <f>IFERROR('[P004_LingoCGM_CGM_Report_FIXED.xlsx]Study Export'!CC$3,"")</f>
        <v/>
      </c>
      <c r="CD9">
        <f>IFERROR('[P004_LingoCGM_CGM_Report_FIXED.xlsx]Study Export'!CD$3,"")</f>
        <v/>
      </c>
      <c r="CE9">
        <f>IFERROR('[P004_LingoCGM_CGM_Report_FIXED.xlsx]Study Export'!CE$3,"")</f>
        <v/>
      </c>
      <c r="CF9" s="60">
        <f>IFERROR('[P004_LingoCGM_CGM_Report_FIXED.xlsx]Study Export'!CF$3,"")</f>
        <v/>
      </c>
      <c r="CG9" s="60">
        <f>IFERROR('[P004_LingoCGM_CGM_Report_FIXED.xlsx]Study Export'!CG$3,"")</f>
        <v/>
      </c>
      <c r="CH9">
        <f>IFERROR('[P004_LingoCGM_CGM_Report_FIXED.xlsx]Study Export'!CH$3,"")</f>
        <v/>
      </c>
    </row>
    <row r="10">
      <c r="A10" s="24">
        <f>IFERROR('[P005_LingoCGM_CGM_Report_FIXED.xlsx]Study Export'!A$3,"")</f>
        <v/>
      </c>
      <c r="B10" s="24">
        <f>IFERROR('[P005_LingoCGM_CGM_Report_FIXED.xlsx]Study Export'!B$3,"")</f>
        <v/>
      </c>
      <c r="C10" s="24">
        <f>IFERROR('[P005_LingoCGM_CGM_Report_FIXED.xlsx]Study Export'!C$3,"")</f>
        <v/>
      </c>
      <c r="D10" s="24">
        <f>IFERROR('[P005_LingoCGM_CGM_Report_FIXED.xlsx]Study Export'!D$3,"")</f>
        <v/>
      </c>
      <c r="E10" s="55">
        <f>IFERROR('[P005_LingoCGM_CGM_Report_FIXED.xlsx]Study Export'!E$3,"")</f>
        <v/>
      </c>
      <c r="F10" s="26">
        <f>IFERROR('[P005_LingoCGM_CGM_Report_FIXED.xlsx]Study Export'!F$3,"")</f>
        <v/>
      </c>
      <c r="G10" s="26">
        <f>IFERROR('[P005_LingoCGM_CGM_Report_FIXED.xlsx]Study Export'!G$3,"")</f>
        <v/>
      </c>
      <c r="H10" s="47">
        <f>IFERROR('[P005_LingoCGM_CGM_Report_FIXED.xlsx]Study Export'!H$3,"")</f>
        <v/>
      </c>
      <c r="I10" s="26">
        <f>IFERROR('[P005_LingoCGM_CGM_Report_FIXED.xlsx]Study Export'!I$3,"")</f>
        <v/>
      </c>
      <c r="J10" s="26">
        <f>IFERROR('[P005_LingoCGM_CGM_Report_FIXED.xlsx]Study Export'!J$3,"")</f>
        <v/>
      </c>
      <c r="K10" s="47">
        <f>IFERROR('[P005_LingoCGM_CGM_Report_FIXED.xlsx]Study Export'!K$3,"")</f>
        <v/>
      </c>
      <c r="L10" s="47">
        <f>IFERROR('[P005_LingoCGM_CGM_Report_FIXED.xlsx]Study Export'!L$3,"")</f>
        <v/>
      </c>
      <c r="M10" s="47">
        <f>IFERROR('[P005_LingoCGM_CGM_Report_FIXED.xlsx]Study Export'!M$3,"")</f>
        <v/>
      </c>
      <c r="N10" s="47">
        <f>IFERROR('[P005_LingoCGM_CGM_Report_FIXED.xlsx]Study Export'!N$3,"")</f>
        <v/>
      </c>
      <c r="O10" s="47">
        <f>IFERROR('[P005_LingoCGM_CGM_Report_FIXED.xlsx]Study Export'!O$3,"")</f>
        <v/>
      </c>
      <c r="P10" s="27">
        <f>IFERROR('[P005_LingoCGM_CGM_Report_FIXED.xlsx]Study Export'!P$3,"")</f>
        <v/>
      </c>
      <c r="Q10" s="27">
        <f>IFERROR('[P005_LingoCGM_CGM_Report_FIXED.xlsx]Study Export'!Q$3,"")</f>
        <v/>
      </c>
      <c r="R10" s="27">
        <f>IFERROR('[P005_LingoCGM_CGM_Report_FIXED.xlsx]Study Export'!R$3,"")</f>
        <v/>
      </c>
      <c r="S10" s="56">
        <f>IFERROR('[P005_LingoCGM_CGM_Report_FIXED.xlsx]Study Export'!S$3,"")</f>
        <v/>
      </c>
      <c r="T10" s="56">
        <f>IFERROR('[P005_LingoCGM_CGM_Report_FIXED.xlsx]Study Export'!T$3,"")</f>
        <v/>
      </c>
      <c r="U10" s="56">
        <f>IFERROR('[P005_LingoCGM_CGM_Report_FIXED.xlsx]Study Export'!U$3,"")</f>
        <v/>
      </c>
      <c r="V10" s="56">
        <f>IFERROR('[P005_LingoCGM_CGM_Report_FIXED.xlsx]Study Export'!V$3,"")</f>
        <v/>
      </c>
      <c r="W10" s="56">
        <f>IFERROR('[P005_LingoCGM_CGM_Report_FIXED.xlsx]Study Export'!W$3,"")</f>
        <v/>
      </c>
      <c r="X10" s="56">
        <f>IFERROR('[P005_LingoCGM_CGM_Report_FIXED.xlsx]Study Export'!X$3,"")</f>
        <v/>
      </c>
      <c r="Y10" s="56">
        <f>IFERROR('[P005_LingoCGM_CGM_Report_FIXED.xlsx]Study Export'!Y$3,"")</f>
        <v/>
      </c>
      <c r="Z10" s="56">
        <f>IFERROR('[P005_LingoCGM_CGM_Report_FIXED.xlsx]Study Export'!Z$3,"")</f>
        <v/>
      </c>
      <c r="AA10" s="56">
        <f>IFERROR('[P005_LingoCGM_CGM_Report_FIXED.xlsx]Study Export'!AA$3,"")</f>
        <v/>
      </c>
      <c r="AB10" s="56">
        <f>IFERROR('[P005_LingoCGM_CGM_Report_FIXED.xlsx]Study Export'!AB$3,"")</f>
        <v/>
      </c>
      <c r="AC10" s="56">
        <f>IFERROR('[P005_LingoCGM_CGM_Report_FIXED.xlsx]Study Export'!AC$3,"")</f>
        <v/>
      </c>
      <c r="AD10" s="56">
        <f>IFERROR('[P005_LingoCGM_CGM_Report_FIXED.xlsx]Study Export'!AD$3,"")</f>
        <v/>
      </c>
      <c r="AE10" s="56">
        <f>IFERROR('[P005_LingoCGM_CGM_Report_FIXED.xlsx]Study Export'!AE$3,"")</f>
        <v/>
      </c>
      <c r="AF10" s="56">
        <f>IFERROR('[P005_LingoCGM_CGM_Report_FIXED.xlsx]Study Export'!AF$3,"")</f>
        <v/>
      </c>
      <c r="AG10" s="56">
        <f>IFERROR('[P005_LingoCGM_CGM_Report_FIXED.xlsx]Study Export'!AG$3,"")</f>
        <v/>
      </c>
      <c r="AH10" s="27">
        <f>IFERROR('[P005_LingoCGM_CGM_Report_FIXED.xlsx]Study Export'!AH$3,"")</f>
        <v/>
      </c>
      <c r="AI10" s="27">
        <f>IFERROR('[P005_LingoCGM_CGM_Report_FIXED.xlsx]Study Export'!AI$3,"")</f>
        <v/>
      </c>
      <c r="AJ10" s="27">
        <f>IFERROR('[P005_LingoCGM_CGM_Report_FIXED.xlsx]Study Export'!AJ$3,"")</f>
        <v/>
      </c>
      <c r="AK10" s="27">
        <f>IFERROR('[P005_LingoCGM_CGM_Report_FIXED.xlsx]Study Export'!AK$3,"")</f>
        <v/>
      </c>
      <c r="AL10" s="27">
        <f>IFERROR('[P005_LingoCGM_CGM_Report_FIXED.xlsx]Study Export'!AL$3,"")</f>
        <v/>
      </c>
      <c r="AM10" s="27">
        <f>IFERROR('[P005_LingoCGM_CGM_Report_FIXED.xlsx]Study Export'!AM$3,"")</f>
        <v/>
      </c>
      <c r="AN10" s="27">
        <f>IFERROR('[P005_LingoCGM_CGM_Report_FIXED.xlsx]Study Export'!AN$3,"")</f>
        <v/>
      </c>
      <c r="AO10" s="27">
        <f>IFERROR('[P005_LingoCGM_CGM_Report_FIXED.xlsx]Study Export'!AO$3,"")</f>
        <v/>
      </c>
      <c r="AP10" s="27">
        <f>IFERROR('[P005_LingoCGM_CGM_Report_FIXED.xlsx]Study Export'!AP$3,"")</f>
        <v/>
      </c>
      <c r="AQ10" s="27">
        <f>IFERROR('[P005_LingoCGM_CGM_Report_FIXED.xlsx]Study Export'!AQ$3,"")</f>
        <v/>
      </c>
      <c r="AR10" s="27">
        <f>IFERROR('[P005_LingoCGM_CGM_Report_FIXED.xlsx]Study Export'!AR$3,"")</f>
        <v/>
      </c>
      <c r="AS10" s="27">
        <f>IFERROR('[P005_LingoCGM_CGM_Report_FIXED.xlsx]Study Export'!AS$3,"")</f>
        <v/>
      </c>
      <c r="AT10" s="47">
        <f>IFERROR('[P005_LingoCGM_CGM_Report_FIXED.xlsx]Study Export'!AT$3,"")</f>
        <v/>
      </c>
      <c r="AU10" s="47">
        <f>IFERROR('[P005_LingoCGM_CGM_Report_FIXED.xlsx]Study Export'!AU$3,"")</f>
        <v/>
      </c>
      <c r="AV10" s="47">
        <f>IFERROR('[P005_LingoCGM_CGM_Report_FIXED.xlsx]Study Export'!AV$3,"")</f>
        <v/>
      </c>
      <c r="AW10" s="56">
        <f>IFERROR('[P005_LingoCGM_CGM_Report_FIXED.xlsx]Study Export'!AW$3,"")</f>
        <v/>
      </c>
      <c r="AX10" s="56">
        <f>IFERROR('[P005_LingoCGM_CGM_Report_FIXED.xlsx]Study Export'!AX$3,"")</f>
        <v/>
      </c>
      <c r="AY10" s="56">
        <f>IFERROR('[P005_LingoCGM_CGM_Report_FIXED.xlsx]Study Export'!AY$3,"")</f>
        <v/>
      </c>
      <c r="AZ10" s="47">
        <f>IFERROR('[P005_LingoCGM_CGM_Report_FIXED.xlsx]Study Export'!AZ$3,"")</f>
        <v/>
      </c>
      <c r="BA10" s="47">
        <f>IFERROR('[P005_LingoCGM_CGM_Report_FIXED.xlsx]Study Export'!BA$3,"")</f>
        <v/>
      </c>
      <c r="BB10" s="47">
        <f>IFERROR('[P005_LingoCGM_CGM_Report_FIXED.xlsx]Study Export'!BB$3,"")</f>
        <v/>
      </c>
      <c r="BC10" s="27">
        <f>IFERROR('[P005_LingoCGM_CGM_Report_FIXED.xlsx]Study Export'!BC$3,"")</f>
        <v/>
      </c>
      <c r="BD10" s="27">
        <f>IFERROR('[P005_LingoCGM_CGM_Report_FIXED.xlsx]Study Export'!BD$3,"")</f>
        <v/>
      </c>
      <c r="BE10" s="27">
        <f>IFERROR('[P005_LingoCGM_CGM_Report_FIXED.xlsx]Study Export'!BE$3,"")</f>
        <v/>
      </c>
      <c r="BF10" s="47">
        <f>IFERROR('[P005_LingoCGM_CGM_Report_FIXED.xlsx]Study Export'!BF$3,"")</f>
        <v/>
      </c>
      <c r="BG10" s="47">
        <f>IFERROR('[P005_LingoCGM_CGM_Report_FIXED.xlsx]Study Export'!BG$3,"")</f>
        <v/>
      </c>
      <c r="BH10" s="47">
        <f>IFERROR('[P005_LingoCGM_CGM_Report_FIXED.xlsx]Study Export'!BH$3,"")</f>
        <v/>
      </c>
      <c r="BI10" s="47">
        <f>IFERROR('[P005_LingoCGM_CGM_Report_FIXED.xlsx]Study Export'!BI$3,"")</f>
        <v/>
      </c>
      <c r="BJ10" s="47">
        <f>IFERROR('[P005_LingoCGM_CGM_Report_FIXED.xlsx]Study Export'!BJ$3,"")</f>
        <v/>
      </c>
      <c r="BK10" s="47">
        <f>IFERROR('[P005_LingoCGM_CGM_Report_FIXED.xlsx]Study Export'!BK$3,"")</f>
        <v/>
      </c>
      <c r="BL10" s="47">
        <f>IFERROR('[P005_LingoCGM_CGM_Report_FIXED.xlsx]Study Export'!BL$3,"")</f>
        <v/>
      </c>
      <c r="BM10" s="47">
        <f>IFERROR('[P005_LingoCGM_CGM_Report_FIXED.xlsx]Study Export'!BM$3,"")</f>
        <v/>
      </c>
      <c r="BN10" s="47">
        <f>IFERROR('[P005_LingoCGM_CGM_Report_FIXED.xlsx]Study Export'!BN$3,"")</f>
        <v/>
      </c>
      <c r="BO10" s="47">
        <f>IFERROR('[P005_LingoCGM_CGM_Report_FIXED.xlsx]Study Export'!BO$3,"")</f>
        <v/>
      </c>
      <c r="BP10" s="47">
        <f>IFERROR('[P005_LingoCGM_CGM_Report_FIXED.xlsx]Study Export'!BP$3,"")</f>
        <v/>
      </c>
      <c r="BQ10" s="47">
        <f>IFERROR('[P005_LingoCGM_CGM_Report_FIXED.xlsx]Study Export'!BQ$3,"")</f>
        <v/>
      </c>
      <c r="BR10" s="47">
        <f>IFERROR('[P005_LingoCGM_CGM_Report_FIXED.xlsx]Study Export'!BR$3,"")</f>
        <v/>
      </c>
      <c r="BS10" s="47">
        <f>IFERROR('[P005_LingoCGM_CGM_Report_FIXED.xlsx]Study Export'!BS$3,"")</f>
        <v/>
      </c>
      <c r="BT10" s="47">
        <f>IFERROR('[P005_LingoCGM_CGM_Report_FIXED.xlsx]Study Export'!BT$3,"")</f>
        <v/>
      </c>
      <c r="BU10" s="47">
        <f>IFERROR('[P005_LingoCGM_CGM_Report_FIXED.xlsx]Study Export'!BU$3,"")</f>
        <v/>
      </c>
      <c r="BV10" s="47">
        <f>IFERROR('[P005_LingoCGM_CGM_Report_FIXED.xlsx]Study Export'!BV$3,"")</f>
        <v/>
      </c>
      <c r="BW10" s="47">
        <f>IFERROR('[P005_LingoCGM_CGM_Report_FIXED.xlsx]Study Export'!BW$3,"")</f>
        <v/>
      </c>
      <c r="BX10">
        <f>IFERROR('[P005_LingoCGM_CGM_Report_FIXED.xlsx]Study Export'!BX$3,"")</f>
        <v/>
      </c>
      <c r="BY10" s="57">
        <f>IFERROR('[P005_LingoCGM_CGM_Report_FIXED.xlsx]Study Export'!BY$3,"")</f>
        <v/>
      </c>
      <c r="BZ10" s="57">
        <f>IFERROR('[P005_LingoCGM_CGM_Report_FIXED.xlsx]Study Export'!BZ$3,"")</f>
        <v/>
      </c>
      <c r="CA10" s="57">
        <f>IFERROR('[P005_LingoCGM_CGM_Report_FIXED.xlsx]Study Export'!CA$3,"")</f>
        <v/>
      </c>
      <c r="CB10" s="58">
        <f>IFERROR('[P005_LingoCGM_CGM_Report_FIXED.xlsx]Study Export'!CB$3,"")</f>
        <v/>
      </c>
      <c r="CC10" s="59">
        <f>IFERROR('[P005_LingoCGM_CGM_Report_FIXED.xlsx]Study Export'!CC$3,"")</f>
        <v/>
      </c>
      <c r="CD10">
        <f>IFERROR('[P005_LingoCGM_CGM_Report_FIXED.xlsx]Study Export'!CD$3,"")</f>
        <v/>
      </c>
      <c r="CE10">
        <f>IFERROR('[P005_LingoCGM_CGM_Report_FIXED.xlsx]Study Export'!CE$3,"")</f>
        <v/>
      </c>
      <c r="CF10" s="60">
        <f>IFERROR('[P005_LingoCGM_CGM_Report_FIXED.xlsx]Study Export'!CF$3,"")</f>
        <v/>
      </c>
      <c r="CG10" s="60">
        <f>IFERROR('[P005_LingoCGM_CGM_Report_FIXED.xlsx]Study Export'!CG$3,"")</f>
        <v/>
      </c>
      <c r="CH10">
        <f>IFERROR('[P005_LingoCGM_CGM_Report_FIXED.xlsx]Study Export'!CH$3,"")</f>
        <v/>
      </c>
    </row>
    <row r="11">
      <c r="A11" s="24">
        <f>IFERROR('[P006_LingoCGM_CGM_Report_FIXED.xlsx]Study Export'!A$3,"")</f>
        <v/>
      </c>
      <c r="B11" s="24">
        <f>IFERROR('[P006_LingoCGM_CGM_Report_FIXED.xlsx]Study Export'!B$3,"")</f>
        <v/>
      </c>
      <c r="C11" s="24">
        <f>IFERROR('[P006_LingoCGM_CGM_Report_FIXED.xlsx]Study Export'!C$3,"")</f>
        <v/>
      </c>
      <c r="D11" s="24">
        <f>IFERROR('[P006_LingoCGM_CGM_Report_FIXED.xlsx]Study Export'!D$3,"")</f>
        <v/>
      </c>
      <c r="E11" s="55">
        <f>IFERROR('[P006_LingoCGM_CGM_Report_FIXED.xlsx]Study Export'!E$3,"")</f>
        <v/>
      </c>
      <c r="F11" s="26">
        <f>IFERROR('[P006_LingoCGM_CGM_Report_FIXED.xlsx]Study Export'!F$3,"")</f>
        <v/>
      </c>
      <c r="G11" s="26">
        <f>IFERROR('[P006_LingoCGM_CGM_Report_FIXED.xlsx]Study Export'!G$3,"")</f>
        <v/>
      </c>
      <c r="H11" s="47">
        <f>IFERROR('[P006_LingoCGM_CGM_Report_FIXED.xlsx]Study Export'!H$3,"")</f>
        <v/>
      </c>
      <c r="I11" s="26">
        <f>IFERROR('[P006_LingoCGM_CGM_Report_FIXED.xlsx]Study Export'!I$3,"")</f>
        <v/>
      </c>
      <c r="J11" s="26">
        <f>IFERROR('[P006_LingoCGM_CGM_Report_FIXED.xlsx]Study Export'!J$3,"")</f>
        <v/>
      </c>
      <c r="K11" s="47">
        <f>IFERROR('[P006_LingoCGM_CGM_Report_FIXED.xlsx]Study Export'!K$3,"")</f>
        <v/>
      </c>
      <c r="L11" s="47">
        <f>IFERROR('[P006_LingoCGM_CGM_Report_FIXED.xlsx]Study Export'!L$3,"")</f>
        <v/>
      </c>
      <c r="M11" s="47">
        <f>IFERROR('[P006_LingoCGM_CGM_Report_FIXED.xlsx]Study Export'!M$3,"")</f>
        <v/>
      </c>
      <c r="N11" s="47">
        <f>IFERROR('[P006_LingoCGM_CGM_Report_FIXED.xlsx]Study Export'!N$3,"")</f>
        <v/>
      </c>
      <c r="O11" s="47">
        <f>IFERROR('[P006_LingoCGM_CGM_Report_FIXED.xlsx]Study Export'!O$3,"")</f>
        <v/>
      </c>
      <c r="P11" s="27">
        <f>IFERROR('[P006_LingoCGM_CGM_Report_FIXED.xlsx]Study Export'!P$3,"")</f>
        <v/>
      </c>
      <c r="Q11" s="27">
        <f>IFERROR('[P006_LingoCGM_CGM_Report_FIXED.xlsx]Study Export'!Q$3,"")</f>
        <v/>
      </c>
      <c r="R11" s="27">
        <f>IFERROR('[P006_LingoCGM_CGM_Report_FIXED.xlsx]Study Export'!R$3,"")</f>
        <v/>
      </c>
      <c r="S11" s="56">
        <f>IFERROR('[P006_LingoCGM_CGM_Report_FIXED.xlsx]Study Export'!S$3,"")</f>
        <v/>
      </c>
      <c r="T11" s="56">
        <f>IFERROR('[P006_LingoCGM_CGM_Report_FIXED.xlsx]Study Export'!T$3,"")</f>
        <v/>
      </c>
      <c r="U11" s="56">
        <f>IFERROR('[P006_LingoCGM_CGM_Report_FIXED.xlsx]Study Export'!U$3,"")</f>
        <v/>
      </c>
      <c r="V11" s="56">
        <f>IFERROR('[P006_LingoCGM_CGM_Report_FIXED.xlsx]Study Export'!V$3,"")</f>
        <v/>
      </c>
      <c r="W11" s="56">
        <f>IFERROR('[P006_LingoCGM_CGM_Report_FIXED.xlsx]Study Export'!W$3,"")</f>
        <v/>
      </c>
      <c r="X11" s="56">
        <f>IFERROR('[P006_LingoCGM_CGM_Report_FIXED.xlsx]Study Export'!X$3,"")</f>
        <v/>
      </c>
      <c r="Y11" s="56">
        <f>IFERROR('[P006_LingoCGM_CGM_Report_FIXED.xlsx]Study Export'!Y$3,"")</f>
        <v/>
      </c>
      <c r="Z11" s="56">
        <f>IFERROR('[P006_LingoCGM_CGM_Report_FIXED.xlsx]Study Export'!Z$3,"")</f>
        <v/>
      </c>
      <c r="AA11" s="56">
        <f>IFERROR('[P006_LingoCGM_CGM_Report_FIXED.xlsx]Study Export'!AA$3,"")</f>
        <v/>
      </c>
      <c r="AB11" s="56">
        <f>IFERROR('[P006_LingoCGM_CGM_Report_FIXED.xlsx]Study Export'!AB$3,"")</f>
        <v/>
      </c>
      <c r="AC11" s="56">
        <f>IFERROR('[P006_LingoCGM_CGM_Report_FIXED.xlsx]Study Export'!AC$3,"")</f>
        <v/>
      </c>
      <c r="AD11" s="56">
        <f>IFERROR('[P006_LingoCGM_CGM_Report_FIXED.xlsx]Study Export'!AD$3,"")</f>
        <v/>
      </c>
      <c r="AE11" s="56">
        <f>IFERROR('[P006_LingoCGM_CGM_Report_FIXED.xlsx]Study Export'!AE$3,"")</f>
        <v/>
      </c>
      <c r="AF11" s="56">
        <f>IFERROR('[P006_LingoCGM_CGM_Report_FIXED.xlsx]Study Export'!AF$3,"")</f>
        <v/>
      </c>
      <c r="AG11" s="56">
        <f>IFERROR('[P006_LingoCGM_CGM_Report_FIXED.xlsx]Study Export'!AG$3,"")</f>
        <v/>
      </c>
      <c r="AH11" s="27">
        <f>IFERROR('[P006_LingoCGM_CGM_Report_FIXED.xlsx]Study Export'!AH$3,"")</f>
        <v/>
      </c>
      <c r="AI11" s="27">
        <f>IFERROR('[P006_LingoCGM_CGM_Report_FIXED.xlsx]Study Export'!AI$3,"")</f>
        <v/>
      </c>
      <c r="AJ11" s="27">
        <f>IFERROR('[P006_LingoCGM_CGM_Report_FIXED.xlsx]Study Export'!AJ$3,"")</f>
        <v/>
      </c>
      <c r="AK11" s="27">
        <f>IFERROR('[P006_LingoCGM_CGM_Report_FIXED.xlsx]Study Export'!AK$3,"")</f>
        <v/>
      </c>
      <c r="AL11" s="27">
        <f>IFERROR('[P006_LingoCGM_CGM_Report_FIXED.xlsx]Study Export'!AL$3,"")</f>
        <v/>
      </c>
      <c r="AM11" s="27">
        <f>IFERROR('[P006_LingoCGM_CGM_Report_FIXED.xlsx]Study Export'!AM$3,"")</f>
        <v/>
      </c>
      <c r="AN11" s="27">
        <f>IFERROR('[P006_LingoCGM_CGM_Report_FIXED.xlsx]Study Export'!AN$3,"")</f>
        <v/>
      </c>
      <c r="AO11" s="27">
        <f>IFERROR('[P006_LingoCGM_CGM_Report_FIXED.xlsx]Study Export'!AO$3,"")</f>
        <v/>
      </c>
      <c r="AP11" s="27">
        <f>IFERROR('[P006_LingoCGM_CGM_Report_FIXED.xlsx]Study Export'!AP$3,"")</f>
        <v/>
      </c>
      <c r="AQ11" s="27">
        <f>IFERROR('[P006_LingoCGM_CGM_Report_FIXED.xlsx]Study Export'!AQ$3,"")</f>
        <v/>
      </c>
      <c r="AR11" s="27">
        <f>IFERROR('[P006_LingoCGM_CGM_Report_FIXED.xlsx]Study Export'!AR$3,"")</f>
        <v/>
      </c>
      <c r="AS11" s="27">
        <f>IFERROR('[P006_LingoCGM_CGM_Report_FIXED.xlsx]Study Export'!AS$3,"")</f>
        <v/>
      </c>
      <c r="AT11" s="47">
        <f>IFERROR('[P006_LingoCGM_CGM_Report_FIXED.xlsx]Study Export'!AT$3,"")</f>
        <v/>
      </c>
      <c r="AU11" s="47">
        <f>IFERROR('[P006_LingoCGM_CGM_Report_FIXED.xlsx]Study Export'!AU$3,"")</f>
        <v/>
      </c>
      <c r="AV11" s="47">
        <f>IFERROR('[P006_LingoCGM_CGM_Report_FIXED.xlsx]Study Export'!AV$3,"")</f>
        <v/>
      </c>
      <c r="AW11" s="56">
        <f>IFERROR('[P006_LingoCGM_CGM_Report_FIXED.xlsx]Study Export'!AW$3,"")</f>
        <v/>
      </c>
      <c r="AX11" s="56">
        <f>IFERROR('[P006_LingoCGM_CGM_Report_FIXED.xlsx]Study Export'!AX$3,"")</f>
        <v/>
      </c>
      <c r="AY11" s="56">
        <f>IFERROR('[P006_LingoCGM_CGM_Report_FIXED.xlsx]Study Export'!AY$3,"")</f>
        <v/>
      </c>
      <c r="AZ11" s="47">
        <f>IFERROR('[P006_LingoCGM_CGM_Report_FIXED.xlsx]Study Export'!AZ$3,"")</f>
        <v/>
      </c>
      <c r="BA11" s="47">
        <f>IFERROR('[P006_LingoCGM_CGM_Report_FIXED.xlsx]Study Export'!BA$3,"")</f>
        <v/>
      </c>
      <c r="BB11" s="47">
        <f>IFERROR('[P006_LingoCGM_CGM_Report_FIXED.xlsx]Study Export'!BB$3,"")</f>
        <v/>
      </c>
      <c r="BC11" s="27">
        <f>IFERROR('[P006_LingoCGM_CGM_Report_FIXED.xlsx]Study Export'!BC$3,"")</f>
        <v/>
      </c>
      <c r="BD11" s="27">
        <f>IFERROR('[P006_LingoCGM_CGM_Report_FIXED.xlsx]Study Export'!BD$3,"")</f>
        <v/>
      </c>
      <c r="BE11" s="27">
        <f>IFERROR('[P006_LingoCGM_CGM_Report_FIXED.xlsx]Study Export'!BE$3,"")</f>
        <v/>
      </c>
      <c r="BF11" s="47">
        <f>IFERROR('[P006_LingoCGM_CGM_Report_FIXED.xlsx]Study Export'!BF$3,"")</f>
        <v/>
      </c>
      <c r="BG11" s="47">
        <f>IFERROR('[P006_LingoCGM_CGM_Report_FIXED.xlsx]Study Export'!BG$3,"")</f>
        <v/>
      </c>
      <c r="BH11" s="47">
        <f>IFERROR('[P006_LingoCGM_CGM_Report_FIXED.xlsx]Study Export'!BH$3,"")</f>
        <v/>
      </c>
      <c r="BI11" s="47">
        <f>IFERROR('[P006_LingoCGM_CGM_Report_FIXED.xlsx]Study Export'!BI$3,"")</f>
        <v/>
      </c>
      <c r="BJ11" s="47">
        <f>IFERROR('[P006_LingoCGM_CGM_Report_FIXED.xlsx]Study Export'!BJ$3,"")</f>
        <v/>
      </c>
      <c r="BK11" s="47">
        <f>IFERROR('[P006_LingoCGM_CGM_Report_FIXED.xlsx]Study Export'!BK$3,"")</f>
        <v/>
      </c>
      <c r="BL11" s="47">
        <f>IFERROR('[P006_LingoCGM_CGM_Report_FIXED.xlsx]Study Export'!BL$3,"")</f>
        <v/>
      </c>
      <c r="BM11" s="47">
        <f>IFERROR('[P006_LingoCGM_CGM_Report_FIXED.xlsx]Study Export'!BM$3,"")</f>
        <v/>
      </c>
      <c r="BN11" s="47">
        <f>IFERROR('[P006_LingoCGM_CGM_Report_FIXED.xlsx]Study Export'!BN$3,"")</f>
        <v/>
      </c>
      <c r="BO11" s="47">
        <f>IFERROR('[P006_LingoCGM_CGM_Report_FIXED.xlsx]Study Export'!BO$3,"")</f>
        <v/>
      </c>
      <c r="BP11" s="47">
        <f>IFERROR('[P006_LingoCGM_CGM_Report_FIXED.xlsx]Study Export'!BP$3,"")</f>
        <v/>
      </c>
      <c r="BQ11" s="47">
        <f>IFERROR('[P006_LingoCGM_CGM_Report_FIXED.xlsx]Study Export'!BQ$3,"")</f>
        <v/>
      </c>
      <c r="BR11" s="47">
        <f>IFERROR('[P006_LingoCGM_CGM_Report_FIXED.xlsx]Study Export'!BR$3,"")</f>
        <v/>
      </c>
      <c r="BS11" s="47">
        <f>IFERROR('[P006_LingoCGM_CGM_Report_FIXED.xlsx]Study Export'!BS$3,"")</f>
        <v/>
      </c>
      <c r="BT11" s="47">
        <f>IFERROR('[P006_LingoCGM_CGM_Report_FIXED.xlsx]Study Export'!BT$3,"")</f>
        <v/>
      </c>
      <c r="BU11" s="47">
        <f>IFERROR('[P006_LingoCGM_CGM_Report_FIXED.xlsx]Study Export'!BU$3,"")</f>
        <v/>
      </c>
      <c r="BV11" s="47">
        <f>IFERROR('[P006_LingoCGM_CGM_Report_FIXED.xlsx]Study Export'!BV$3,"")</f>
        <v/>
      </c>
      <c r="BW11" s="47">
        <f>IFERROR('[P006_LingoCGM_CGM_Report_FIXED.xlsx]Study Export'!BW$3,"")</f>
        <v/>
      </c>
      <c r="BX11">
        <f>IFERROR('[P006_LingoCGM_CGM_Report_FIXED.xlsx]Study Export'!BX$3,"")</f>
        <v/>
      </c>
      <c r="BY11" s="57">
        <f>IFERROR('[P006_LingoCGM_CGM_Report_FIXED.xlsx]Study Export'!BY$3,"")</f>
        <v/>
      </c>
      <c r="BZ11" s="57">
        <f>IFERROR('[P006_LingoCGM_CGM_Report_FIXED.xlsx]Study Export'!BZ$3,"")</f>
        <v/>
      </c>
      <c r="CA11" s="57">
        <f>IFERROR('[P006_LingoCGM_CGM_Report_FIXED.xlsx]Study Export'!CA$3,"")</f>
        <v/>
      </c>
      <c r="CB11" s="58">
        <f>IFERROR('[P006_LingoCGM_CGM_Report_FIXED.xlsx]Study Export'!CB$3,"")</f>
        <v/>
      </c>
      <c r="CC11" s="59">
        <f>IFERROR('[P006_LingoCGM_CGM_Report_FIXED.xlsx]Study Export'!CC$3,"")</f>
        <v/>
      </c>
      <c r="CD11">
        <f>IFERROR('[P006_LingoCGM_CGM_Report_FIXED.xlsx]Study Export'!CD$3,"")</f>
        <v/>
      </c>
      <c r="CE11">
        <f>IFERROR('[P006_LingoCGM_CGM_Report_FIXED.xlsx]Study Export'!CE$3,"")</f>
        <v/>
      </c>
      <c r="CF11" s="60">
        <f>IFERROR('[P006_LingoCGM_CGM_Report_FIXED.xlsx]Study Export'!CF$3,"")</f>
        <v/>
      </c>
      <c r="CG11" s="60">
        <f>IFERROR('[P006_LingoCGM_CGM_Report_FIXED.xlsx]Study Export'!CG$3,"")</f>
        <v/>
      </c>
      <c r="CH11">
        <f>IFERROR('[P006_LingoCGM_CGM_Report_FIXED.xlsx]Study Export'!CH$3,"")</f>
        <v/>
      </c>
    </row>
    <row r="12">
      <c r="A12" s="24">
        <f>IFERROR('[P007_LingoCGM_CGM_Report_FIXED.xlsx]Study Export'!A$3,"")</f>
        <v/>
      </c>
      <c r="B12" s="24">
        <f>IFERROR('[P007_LingoCGM_CGM_Report_FIXED.xlsx]Study Export'!B$3,"")</f>
        <v/>
      </c>
      <c r="C12" s="24">
        <f>IFERROR('[P007_LingoCGM_CGM_Report_FIXED.xlsx]Study Export'!C$3,"")</f>
        <v/>
      </c>
      <c r="D12" s="24">
        <f>IFERROR('[P007_LingoCGM_CGM_Report_FIXED.xlsx]Study Export'!D$3,"")</f>
        <v/>
      </c>
      <c r="E12" s="55">
        <f>IFERROR('[P007_LingoCGM_CGM_Report_FIXED.xlsx]Study Export'!E$3,"")</f>
        <v/>
      </c>
      <c r="F12" s="26">
        <f>IFERROR('[P007_LingoCGM_CGM_Report_FIXED.xlsx]Study Export'!F$3,"")</f>
        <v/>
      </c>
      <c r="G12" s="26">
        <f>IFERROR('[P007_LingoCGM_CGM_Report_FIXED.xlsx]Study Export'!G$3,"")</f>
        <v/>
      </c>
      <c r="H12" s="47">
        <f>IFERROR('[P007_LingoCGM_CGM_Report_FIXED.xlsx]Study Export'!H$3,"")</f>
        <v/>
      </c>
      <c r="I12" s="26">
        <f>IFERROR('[P007_LingoCGM_CGM_Report_FIXED.xlsx]Study Export'!I$3,"")</f>
        <v/>
      </c>
      <c r="J12" s="26">
        <f>IFERROR('[P007_LingoCGM_CGM_Report_FIXED.xlsx]Study Export'!J$3,"")</f>
        <v/>
      </c>
      <c r="K12" s="47">
        <f>IFERROR('[P007_LingoCGM_CGM_Report_FIXED.xlsx]Study Export'!K$3,"")</f>
        <v/>
      </c>
      <c r="L12" s="47">
        <f>IFERROR('[P007_LingoCGM_CGM_Report_FIXED.xlsx]Study Export'!L$3,"")</f>
        <v/>
      </c>
      <c r="M12" s="47">
        <f>IFERROR('[P007_LingoCGM_CGM_Report_FIXED.xlsx]Study Export'!M$3,"")</f>
        <v/>
      </c>
      <c r="N12" s="47">
        <f>IFERROR('[P007_LingoCGM_CGM_Report_FIXED.xlsx]Study Export'!N$3,"")</f>
        <v/>
      </c>
      <c r="O12" s="47">
        <f>IFERROR('[P007_LingoCGM_CGM_Report_FIXED.xlsx]Study Export'!O$3,"")</f>
        <v/>
      </c>
      <c r="P12" s="27">
        <f>IFERROR('[P007_LingoCGM_CGM_Report_FIXED.xlsx]Study Export'!P$3,"")</f>
        <v/>
      </c>
      <c r="Q12" s="27">
        <f>IFERROR('[P007_LingoCGM_CGM_Report_FIXED.xlsx]Study Export'!Q$3,"")</f>
        <v/>
      </c>
      <c r="R12" s="27">
        <f>IFERROR('[P007_LingoCGM_CGM_Report_FIXED.xlsx]Study Export'!R$3,"")</f>
        <v/>
      </c>
      <c r="S12" s="56">
        <f>IFERROR('[P007_LingoCGM_CGM_Report_FIXED.xlsx]Study Export'!S$3,"")</f>
        <v/>
      </c>
      <c r="T12" s="56">
        <f>IFERROR('[P007_LingoCGM_CGM_Report_FIXED.xlsx]Study Export'!T$3,"")</f>
        <v/>
      </c>
      <c r="U12" s="56">
        <f>IFERROR('[P007_LingoCGM_CGM_Report_FIXED.xlsx]Study Export'!U$3,"")</f>
        <v/>
      </c>
      <c r="V12" s="56">
        <f>IFERROR('[P007_LingoCGM_CGM_Report_FIXED.xlsx]Study Export'!V$3,"")</f>
        <v/>
      </c>
      <c r="W12" s="56">
        <f>IFERROR('[P007_LingoCGM_CGM_Report_FIXED.xlsx]Study Export'!W$3,"")</f>
        <v/>
      </c>
      <c r="X12" s="56">
        <f>IFERROR('[P007_LingoCGM_CGM_Report_FIXED.xlsx]Study Export'!X$3,"")</f>
        <v/>
      </c>
      <c r="Y12" s="56">
        <f>IFERROR('[P007_LingoCGM_CGM_Report_FIXED.xlsx]Study Export'!Y$3,"")</f>
        <v/>
      </c>
      <c r="Z12" s="56">
        <f>IFERROR('[P007_LingoCGM_CGM_Report_FIXED.xlsx]Study Export'!Z$3,"")</f>
        <v/>
      </c>
      <c r="AA12" s="56">
        <f>IFERROR('[P007_LingoCGM_CGM_Report_FIXED.xlsx]Study Export'!AA$3,"")</f>
        <v/>
      </c>
      <c r="AB12" s="56">
        <f>IFERROR('[P007_LingoCGM_CGM_Report_FIXED.xlsx]Study Export'!AB$3,"")</f>
        <v/>
      </c>
      <c r="AC12" s="56">
        <f>IFERROR('[P007_LingoCGM_CGM_Report_FIXED.xlsx]Study Export'!AC$3,"")</f>
        <v/>
      </c>
      <c r="AD12" s="56">
        <f>IFERROR('[P007_LingoCGM_CGM_Report_FIXED.xlsx]Study Export'!AD$3,"")</f>
        <v/>
      </c>
      <c r="AE12" s="56">
        <f>IFERROR('[P007_LingoCGM_CGM_Report_FIXED.xlsx]Study Export'!AE$3,"")</f>
        <v/>
      </c>
      <c r="AF12" s="56">
        <f>IFERROR('[P007_LingoCGM_CGM_Report_FIXED.xlsx]Study Export'!AF$3,"")</f>
        <v/>
      </c>
      <c r="AG12" s="56">
        <f>IFERROR('[P007_LingoCGM_CGM_Report_FIXED.xlsx]Study Export'!AG$3,"")</f>
        <v/>
      </c>
      <c r="AH12" s="27">
        <f>IFERROR('[P007_LingoCGM_CGM_Report_FIXED.xlsx]Study Export'!AH$3,"")</f>
        <v/>
      </c>
      <c r="AI12" s="27">
        <f>IFERROR('[P007_LingoCGM_CGM_Report_FIXED.xlsx]Study Export'!AI$3,"")</f>
        <v/>
      </c>
      <c r="AJ12" s="27">
        <f>IFERROR('[P007_LingoCGM_CGM_Report_FIXED.xlsx]Study Export'!AJ$3,"")</f>
        <v/>
      </c>
      <c r="AK12" s="27">
        <f>IFERROR('[P007_LingoCGM_CGM_Report_FIXED.xlsx]Study Export'!AK$3,"")</f>
        <v/>
      </c>
      <c r="AL12" s="27">
        <f>IFERROR('[P007_LingoCGM_CGM_Report_FIXED.xlsx]Study Export'!AL$3,"")</f>
        <v/>
      </c>
      <c r="AM12" s="27">
        <f>IFERROR('[P007_LingoCGM_CGM_Report_FIXED.xlsx]Study Export'!AM$3,"")</f>
        <v/>
      </c>
      <c r="AN12" s="27">
        <f>IFERROR('[P007_LingoCGM_CGM_Report_FIXED.xlsx]Study Export'!AN$3,"")</f>
        <v/>
      </c>
      <c r="AO12" s="27">
        <f>IFERROR('[P007_LingoCGM_CGM_Report_FIXED.xlsx]Study Export'!AO$3,"")</f>
        <v/>
      </c>
      <c r="AP12" s="27">
        <f>IFERROR('[P007_LingoCGM_CGM_Report_FIXED.xlsx]Study Export'!AP$3,"")</f>
        <v/>
      </c>
      <c r="AQ12" s="27">
        <f>IFERROR('[P007_LingoCGM_CGM_Report_FIXED.xlsx]Study Export'!AQ$3,"")</f>
        <v/>
      </c>
      <c r="AR12" s="27">
        <f>IFERROR('[P007_LingoCGM_CGM_Report_FIXED.xlsx]Study Export'!AR$3,"")</f>
        <v/>
      </c>
      <c r="AS12" s="27">
        <f>IFERROR('[P007_LingoCGM_CGM_Report_FIXED.xlsx]Study Export'!AS$3,"")</f>
        <v/>
      </c>
      <c r="AT12" s="47">
        <f>IFERROR('[P007_LingoCGM_CGM_Report_FIXED.xlsx]Study Export'!AT$3,"")</f>
        <v/>
      </c>
      <c r="AU12" s="47">
        <f>IFERROR('[P007_LingoCGM_CGM_Report_FIXED.xlsx]Study Export'!AU$3,"")</f>
        <v/>
      </c>
      <c r="AV12" s="47">
        <f>IFERROR('[P007_LingoCGM_CGM_Report_FIXED.xlsx]Study Export'!AV$3,"")</f>
        <v/>
      </c>
      <c r="AW12" s="56">
        <f>IFERROR('[P007_LingoCGM_CGM_Report_FIXED.xlsx]Study Export'!AW$3,"")</f>
        <v/>
      </c>
      <c r="AX12" s="56">
        <f>IFERROR('[P007_LingoCGM_CGM_Report_FIXED.xlsx]Study Export'!AX$3,"")</f>
        <v/>
      </c>
      <c r="AY12" s="56">
        <f>IFERROR('[P007_LingoCGM_CGM_Report_FIXED.xlsx]Study Export'!AY$3,"")</f>
        <v/>
      </c>
      <c r="AZ12" s="47">
        <f>IFERROR('[P007_LingoCGM_CGM_Report_FIXED.xlsx]Study Export'!AZ$3,"")</f>
        <v/>
      </c>
      <c r="BA12" s="47">
        <f>IFERROR('[P007_LingoCGM_CGM_Report_FIXED.xlsx]Study Export'!BA$3,"")</f>
        <v/>
      </c>
      <c r="BB12" s="47">
        <f>IFERROR('[P007_LingoCGM_CGM_Report_FIXED.xlsx]Study Export'!BB$3,"")</f>
        <v/>
      </c>
      <c r="BC12" s="27">
        <f>IFERROR('[P007_LingoCGM_CGM_Report_FIXED.xlsx]Study Export'!BC$3,"")</f>
        <v/>
      </c>
      <c r="BD12" s="27">
        <f>IFERROR('[P007_LingoCGM_CGM_Report_FIXED.xlsx]Study Export'!BD$3,"")</f>
        <v/>
      </c>
      <c r="BE12" s="27">
        <f>IFERROR('[P007_LingoCGM_CGM_Report_FIXED.xlsx]Study Export'!BE$3,"")</f>
        <v/>
      </c>
      <c r="BF12" s="47">
        <f>IFERROR('[P007_LingoCGM_CGM_Report_FIXED.xlsx]Study Export'!BF$3,"")</f>
        <v/>
      </c>
      <c r="BG12" s="47">
        <f>IFERROR('[P007_LingoCGM_CGM_Report_FIXED.xlsx]Study Export'!BG$3,"")</f>
        <v/>
      </c>
      <c r="BH12" s="47">
        <f>IFERROR('[P007_LingoCGM_CGM_Report_FIXED.xlsx]Study Export'!BH$3,"")</f>
        <v/>
      </c>
      <c r="BI12" s="47">
        <f>IFERROR('[P007_LingoCGM_CGM_Report_FIXED.xlsx]Study Export'!BI$3,"")</f>
        <v/>
      </c>
      <c r="BJ12" s="47">
        <f>IFERROR('[P007_LingoCGM_CGM_Report_FIXED.xlsx]Study Export'!BJ$3,"")</f>
        <v/>
      </c>
      <c r="BK12" s="47">
        <f>IFERROR('[P007_LingoCGM_CGM_Report_FIXED.xlsx]Study Export'!BK$3,"")</f>
        <v/>
      </c>
      <c r="BL12" s="47">
        <f>IFERROR('[P007_LingoCGM_CGM_Report_FIXED.xlsx]Study Export'!BL$3,"")</f>
        <v/>
      </c>
      <c r="BM12" s="47">
        <f>IFERROR('[P007_LingoCGM_CGM_Report_FIXED.xlsx]Study Export'!BM$3,"")</f>
        <v/>
      </c>
      <c r="BN12" s="47">
        <f>IFERROR('[P007_LingoCGM_CGM_Report_FIXED.xlsx]Study Export'!BN$3,"")</f>
        <v/>
      </c>
      <c r="BO12" s="47">
        <f>IFERROR('[P007_LingoCGM_CGM_Report_FIXED.xlsx]Study Export'!BO$3,"")</f>
        <v/>
      </c>
      <c r="BP12" s="47">
        <f>IFERROR('[P007_LingoCGM_CGM_Report_FIXED.xlsx]Study Export'!BP$3,"")</f>
        <v/>
      </c>
      <c r="BQ12" s="47">
        <f>IFERROR('[P007_LingoCGM_CGM_Report_FIXED.xlsx]Study Export'!BQ$3,"")</f>
        <v/>
      </c>
      <c r="BR12" s="47">
        <f>IFERROR('[P007_LingoCGM_CGM_Report_FIXED.xlsx]Study Export'!BR$3,"")</f>
        <v/>
      </c>
      <c r="BS12" s="47">
        <f>IFERROR('[P007_LingoCGM_CGM_Report_FIXED.xlsx]Study Export'!BS$3,"")</f>
        <v/>
      </c>
      <c r="BT12" s="47">
        <f>IFERROR('[P007_LingoCGM_CGM_Report_FIXED.xlsx]Study Export'!BT$3,"")</f>
        <v/>
      </c>
      <c r="BU12" s="47">
        <f>IFERROR('[P007_LingoCGM_CGM_Report_FIXED.xlsx]Study Export'!BU$3,"")</f>
        <v/>
      </c>
      <c r="BV12" s="47">
        <f>IFERROR('[P007_LingoCGM_CGM_Report_FIXED.xlsx]Study Export'!BV$3,"")</f>
        <v/>
      </c>
      <c r="BW12" s="47">
        <f>IFERROR('[P007_LingoCGM_CGM_Report_FIXED.xlsx]Study Export'!BW$3,"")</f>
        <v/>
      </c>
      <c r="BX12">
        <f>IFERROR('[P007_LingoCGM_CGM_Report_FIXED.xlsx]Study Export'!BX$3,"")</f>
        <v/>
      </c>
      <c r="BY12" s="57">
        <f>IFERROR('[P007_LingoCGM_CGM_Report_FIXED.xlsx]Study Export'!BY$3,"")</f>
        <v/>
      </c>
      <c r="BZ12" s="57">
        <f>IFERROR('[P007_LingoCGM_CGM_Report_FIXED.xlsx]Study Export'!BZ$3,"")</f>
        <v/>
      </c>
      <c r="CA12" s="57">
        <f>IFERROR('[P007_LingoCGM_CGM_Report_FIXED.xlsx]Study Export'!CA$3,"")</f>
        <v/>
      </c>
      <c r="CB12" s="58">
        <f>IFERROR('[P007_LingoCGM_CGM_Report_FIXED.xlsx]Study Export'!CB$3,"")</f>
        <v/>
      </c>
      <c r="CC12" s="59">
        <f>IFERROR('[P007_LingoCGM_CGM_Report_FIXED.xlsx]Study Export'!CC$3,"")</f>
        <v/>
      </c>
      <c r="CD12">
        <f>IFERROR('[P007_LingoCGM_CGM_Report_FIXED.xlsx]Study Export'!CD$3,"")</f>
        <v/>
      </c>
      <c r="CE12">
        <f>IFERROR('[P007_LingoCGM_CGM_Report_FIXED.xlsx]Study Export'!CE$3,"")</f>
        <v/>
      </c>
      <c r="CF12" s="60">
        <f>IFERROR('[P007_LingoCGM_CGM_Report_FIXED.xlsx]Study Export'!CF$3,"")</f>
        <v/>
      </c>
      <c r="CG12" s="60">
        <f>IFERROR('[P007_LingoCGM_CGM_Report_FIXED.xlsx]Study Export'!CG$3,"")</f>
        <v/>
      </c>
      <c r="CH12">
        <f>IFERROR('[P007_LingoCGM_CGM_Report_FIXED.xlsx]Study Export'!CH$3,"")</f>
        <v/>
      </c>
    </row>
    <row r="13">
      <c r="A13" s="24">
        <f>IFERROR('[P008_LingoCGM_CGM_Report_FIXED.xlsx]Study Export'!A$3,"")</f>
        <v/>
      </c>
      <c r="B13" s="24">
        <f>IFERROR('[P008_LingoCGM_CGM_Report_FIXED.xlsx]Study Export'!B$3,"")</f>
        <v/>
      </c>
      <c r="C13" s="24">
        <f>IFERROR('[P008_LingoCGM_CGM_Report_FIXED.xlsx]Study Export'!C$3,"")</f>
        <v/>
      </c>
      <c r="D13" s="24">
        <f>IFERROR('[P008_LingoCGM_CGM_Report_FIXED.xlsx]Study Export'!D$3,"")</f>
        <v/>
      </c>
      <c r="E13" s="55">
        <f>IFERROR('[P008_LingoCGM_CGM_Report_FIXED.xlsx]Study Export'!E$3,"")</f>
        <v/>
      </c>
      <c r="F13" s="26">
        <f>IFERROR('[P008_LingoCGM_CGM_Report_FIXED.xlsx]Study Export'!F$3,"")</f>
        <v/>
      </c>
      <c r="G13" s="26">
        <f>IFERROR('[P008_LingoCGM_CGM_Report_FIXED.xlsx]Study Export'!G$3,"")</f>
        <v/>
      </c>
      <c r="H13" s="47">
        <f>IFERROR('[P008_LingoCGM_CGM_Report_FIXED.xlsx]Study Export'!H$3,"")</f>
        <v/>
      </c>
      <c r="I13" s="26">
        <f>IFERROR('[P008_LingoCGM_CGM_Report_FIXED.xlsx]Study Export'!I$3,"")</f>
        <v/>
      </c>
      <c r="J13" s="26">
        <f>IFERROR('[P008_LingoCGM_CGM_Report_FIXED.xlsx]Study Export'!J$3,"")</f>
        <v/>
      </c>
      <c r="K13" s="47">
        <f>IFERROR('[P008_LingoCGM_CGM_Report_FIXED.xlsx]Study Export'!K$3,"")</f>
        <v/>
      </c>
      <c r="L13" s="47">
        <f>IFERROR('[P008_LingoCGM_CGM_Report_FIXED.xlsx]Study Export'!L$3,"")</f>
        <v/>
      </c>
      <c r="M13" s="47">
        <f>IFERROR('[P008_LingoCGM_CGM_Report_FIXED.xlsx]Study Export'!M$3,"")</f>
        <v/>
      </c>
      <c r="N13" s="47">
        <f>IFERROR('[P008_LingoCGM_CGM_Report_FIXED.xlsx]Study Export'!N$3,"")</f>
        <v/>
      </c>
      <c r="O13" s="47">
        <f>IFERROR('[P008_LingoCGM_CGM_Report_FIXED.xlsx]Study Export'!O$3,"")</f>
        <v/>
      </c>
      <c r="P13" s="27">
        <f>IFERROR('[P008_LingoCGM_CGM_Report_FIXED.xlsx]Study Export'!P$3,"")</f>
        <v/>
      </c>
      <c r="Q13" s="27">
        <f>IFERROR('[P008_LingoCGM_CGM_Report_FIXED.xlsx]Study Export'!Q$3,"")</f>
        <v/>
      </c>
      <c r="R13" s="27">
        <f>IFERROR('[P008_LingoCGM_CGM_Report_FIXED.xlsx]Study Export'!R$3,"")</f>
        <v/>
      </c>
      <c r="S13" s="56">
        <f>IFERROR('[P008_LingoCGM_CGM_Report_FIXED.xlsx]Study Export'!S$3,"")</f>
        <v/>
      </c>
      <c r="T13" s="56">
        <f>IFERROR('[P008_LingoCGM_CGM_Report_FIXED.xlsx]Study Export'!T$3,"")</f>
        <v/>
      </c>
      <c r="U13" s="56">
        <f>IFERROR('[P008_LingoCGM_CGM_Report_FIXED.xlsx]Study Export'!U$3,"")</f>
        <v/>
      </c>
      <c r="V13" s="56">
        <f>IFERROR('[P008_LingoCGM_CGM_Report_FIXED.xlsx]Study Export'!V$3,"")</f>
        <v/>
      </c>
      <c r="W13" s="56">
        <f>IFERROR('[P008_LingoCGM_CGM_Report_FIXED.xlsx]Study Export'!W$3,"")</f>
        <v/>
      </c>
      <c r="X13" s="56">
        <f>IFERROR('[P008_LingoCGM_CGM_Report_FIXED.xlsx]Study Export'!X$3,"")</f>
        <v/>
      </c>
      <c r="Y13" s="56">
        <f>IFERROR('[P008_LingoCGM_CGM_Report_FIXED.xlsx]Study Export'!Y$3,"")</f>
        <v/>
      </c>
      <c r="Z13" s="56">
        <f>IFERROR('[P008_LingoCGM_CGM_Report_FIXED.xlsx]Study Export'!Z$3,"")</f>
        <v/>
      </c>
      <c r="AA13" s="56">
        <f>IFERROR('[P008_LingoCGM_CGM_Report_FIXED.xlsx]Study Export'!AA$3,"")</f>
        <v/>
      </c>
      <c r="AB13" s="56">
        <f>IFERROR('[P008_LingoCGM_CGM_Report_FIXED.xlsx]Study Export'!AB$3,"")</f>
        <v/>
      </c>
      <c r="AC13" s="56">
        <f>IFERROR('[P008_LingoCGM_CGM_Report_FIXED.xlsx]Study Export'!AC$3,"")</f>
        <v/>
      </c>
      <c r="AD13" s="56">
        <f>IFERROR('[P008_LingoCGM_CGM_Report_FIXED.xlsx]Study Export'!AD$3,"")</f>
        <v/>
      </c>
      <c r="AE13" s="56">
        <f>IFERROR('[P008_LingoCGM_CGM_Report_FIXED.xlsx]Study Export'!AE$3,"")</f>
        <v/>
      </c>
      <c r="AF13" s="56">
        <f>IFERROR('[P008_LingoCGM_CGM_Report_FIXED.xlsx]Study Export'!AF$3,"")</f>
        <v/>
      </c>
      <c r="AG13" s="56">
        <f>IFERROR('[P008_LingoCGM_CGM_Report_FIXED.xlsx]Study Export'!AG$3,"")</f>
        <v/>
      </c>
      <c r="AH13" s="27">
        <f>IFERROR('[P008_LingoCGM_CGM_Report_FIXED.xlsx]Study Export'!AH$3,"")</f>
        <v/>
      </c>
      <c r="AI13" s="27">
        <f>IFERROR('[P008_LingoCGM_CGM_Report_FIXED.xlsx]Study Export'!AI$3,"")</f>
        <v/>
      </c>
      <c r="AJ13" s="27">
        <f>IFERROR('[P008_LingoCGM_CGM_Report_FIXED.xlsx]Study Export'!AJ$3,"")</f>
        <v/>
      </c>
      <c r="AK13" s="27">
        <f>IFERROR('[P008_LingoCGM_CGM_Report_FIXED.xlsx]Study Export'!AK$3,"")</f>
        <v/>
      </c>
      <c r="AL13" s="27">
        <f>IFERROR('[P008_LingoCGM_CGM_Report_FIXED.xlsx]Study Export'!AL$3,"")</f>
        <v/>
      </c>
      <c r="AM13" s="27">
        <f>IFERROR('[P008_LingoCGM_CGM_Report_FIXED.xlsx]Study Export'!AM$3,"")</f>
        <v/>
      </c>
      <c r="AN13" s="27">
        <f>IFERROR('[P008_LingoCGM_CGM_Report_FIXED.xlsx]Study Export'!AN$3,"")</f>
        <v/>
      </c>
      <c r="AO13" s="27">
        <f>IFERROR('[P008_LingoCGM_CGM_Report_FIXED.xlsx]Study Export'!AO$3,"")</f>
        <v/>
      </c>
      <c r="AP13" s="27">
        <f>IFERROR('[P008_LingoCGM_CGM_Report_FIXED.xlsx]Study Export'!AP$3,"")</f>
        <v/>
      </c>
      <c r="AQ13" s="27">
        <f>IFERROR('[P008_LingoCGM_CGM_Report_FIXED.xlsx]Study Export'!AQ$3,"")</f>
        <v/>
      </c>
      <c r="AR13" s="27">
        <f>IFERROR('[P008_LingoCGM_CGM_Report_FIXED.xlsx]Study Export'!AR$3,"")</f>
        <v/>
      </c>
      <c r="AS13" s="27">
        <f>IFERROR('[P008_LingoCGM_CGM_Report_FIXED.xlsx]Study Export'!AS$3,"")</f>
        <v/>
      </c>
      <c r="AT13" s="47">
        <f>IFERROR('[P008_LingoCGM_CGM_Report_FIXED.xlsx]Study Export'!AT$3,"")</f>
        <v/>
      </c>
      <c r="AU13" s="47">
        <f>IFERROR('[P008_LingoCGM_CGM_Report_FIXED.xlsx]Study Export'!AU$3,"")</f>
        <v/>
      </c>
      <c r="AV13" s="47">
        <f>IFERROR('[P008_LingoCGM_CGM_Report_FIXED.xlsx]Study Export'!AV$3,"")</f>
        <v/>
      </c>
      <c r="AW13" s="56">
        <f>IFERROR('[P008_LingoCGM_CGM_Report_FIXED.xlsx]Study Export'!AW$3,"")</f>
        <v/>
      </c>
      <c r="AX13" s="56">
        <f>IFERROR('[P008_LingoCGM_CGM_Report_FIXED.xlsx]Study Export'!AX$3,"")</f>
        <v/>
      </c>
      <c r="AY13" s="56">
        <f>IFERROR('[P008_LingoCGM_CGM_Report_FIXED.xlsx]Study Export'!AY$3,"")</f>
        <v/>
      </c>
      <c r="AZ13" s="47">
        <f>IFERROR('[P008_LingoCGM_CGM_Report_FIXED.xlsx]Study Export'!AZ$3,"")</f>
        <v/>
      </c>
      <c r="BA13" s="47">
        <f>IFERROR('[P008_LingoCGM_CGM_Report_FIXED.xlsx]Study Export'!BA$3,"")</f>
        <v/>
      </c>
      <c r="BB13" s="47">
        <f>IFERROR('[P008_LingoCGM_CGM_Report_FIXED.xlsx]Study Export'!BB$3,"")</f>
        <v/>
      </c>
      <c r="BC13" s="27">
        <f>IFERROR('[P008_LingoCGM_CGM_Report_FIXED.xlsx]Study Export'!BC$3,"")</f>
        <v/>
      </c>
      <c r="BD13" s="27">
        <f>IFERROR('[P008_LingoCGM_CGM_Report_FIXED.xlsx]Study Export'!BD$3,"")</f>
        <v/>
      </c>
      <c r="BE13" s="27">
        <f>IFERROR('[P008_LingoCGM_CGM_Report_FIXED.xlsx]Study Export'!BE$3,"")</f>
        <v/>
      </c>
      <c r="BF13" s="47">
        <f>IFERROR('[P008_LingoCGM_CGM_Report_FIXED.xlsx]Study Export'!BF$3,"")</f>
        <v/>
      </c>
      <c r="BG13" s="47">
        <f>IFERROR('[P008_LingoCGM_CGM_Report_FIXED.xlsx]Study Export'!BG$3,"")</f>
        <v/>
      </c>
      <c r="BH13" s="47">
        <f>IFERROR('[P008_LingoCGM_CGM_Report_FIXED.xlsx]Study Export'!BH$3,"")</f>
        <v/>
      </c>
      <c r="BI13" s="47">
        <f>IFERROR('[P008_LingoCGM_CGM_Report_FIXED.xlsx]Study Export'!BI$3,"")</f>
        <v/>
      </c>
      <c r="BJ13" s="47">
        <f>IFERROR('[P008_LingoCGM_CGM_Report_FIXED.xlsx]Study Export'!BJ$3,"")</f>
        <v/>
      </c>
      <c r="BK13" s="47">
        <f>IFERROR('[P008_LingoCGM_CGM_Report_FIXED.xlsx]Study Export'!BK$3,"")</f>
        <v/>
      </c>
      <c r="BL13" s="47">
        <f>IFERROR('[P008_LingoCGM_CGM_Report_FIXED.xlsx]Study Export'!BL$3,"")</f>
        <v/>
      </c>
      <c r="BM13" s="47">
        <f>IFERROR('[P008_LingoCGM_CGM_Report_FIXED.xlsx]Study Export'!BM$3,"")</f>
        <v/>
      </c>
      <c r="BN13" s="47">
        <f>IFERROR('[P008_LingoCGM_CGM_Report_FIXED.xlsx]Study Export'!BN$3,"")</f>
        <v/>
      </c>
      <c r="BO13" s="47">
        <f>IFERROR('[P008_LingoCGM_CGM_Report_FIXED.xlsx]Study Export'!BO$3,"")</f>
        <v/>
      </c>
      <c r="BP13" s="47">
        <f>IFERROR('[P008_LingoCGM_CGM_Report_FIXED.xlsx]Study Export'!BP$3,"")</f>
        <v/>
      </c>
      <c r="BQ13" s="47">
        <f>IFERROR('[P008_LingoCGM_CGM_Report_FIXED.xlsx]Study Export'!BQ$3,"")</f>
        <v/>
      </c>
      <c r="BR13" s="47">
        <f>IFERROR('[P008_LingoCGM_CGM_Report_FIXED.xlsx]Study Export'!BR$3,"")</f>
        <v/>
      </c>
      <c r="BS13" s="47">
        <f>IFERROR('[P008_LingoCGM_CGM_Report_FIXED.xlsx]Study Export'!BS$3,"")</f>
        <v/>
      </c>
      <c r="BT13" s="47">
        <f>IFERROR('[P008_LingoCGM_CGM_Report_FIXED.xlsx]Study Export'!BT$3,"")</f>
        <v/>
      </c>
      <c r="BU13" s="47">
        <f>IFERROR('[P008_LingoCGM_CGM_Report_FIXED.xlsx]Study Export'!BU$3,"")</f>
        <v/>
      </c>
      <c r="BV13" s="47">
        <f>IFERROR('[P008_LingoCGM_CGM_Report_FIXED.xlsx]Study Export'!BV$3,"")</f>
        <v/>
      </c>
      <c r="BW13" s="47">
        <f>IFERROR('[P008_LingoCGM_CGM_Report_FIXED.xlsx]Study Export'!BW$3,"")</f>
        <v/>
      </c>
      <c r="BX13">
        <f>IFERROR('[P008_LingoCGM_CGM_Report_FIXED.xlsx]Study Export'!BX$3,"")</f>
        <v/>
      </c>
      <c r="BY13" s="57">
        <f>IFERROR('[P008_LingoCGM_CGM_Report_FIXED.xlsx]Study Export'!BY$3,"")</f>
        <v/>
      </c>
      <c r="BZ13" s="57">
        <f>IFERROR('[P008_LingoCGM_CGM_Report_FIXED.xlsx]Study Export'!BZ$3,"")</f>
        <v/>
      </c>
      <c r="CA13" s="57">
        <f>IFERROR('[P008_LingoCGM_CGM_Report_FIXED.xlsx]Study Export'!CA$3,"")</f>
        <v/>
      </c>
      <c r="CB13" s="58">
        <f>IFERROR('[P008_LingoCGM_CGM_Report_FIXED.xlsx]Study Export'!CB$3,"")</f>
        <v/>
      </c>
      <c r="CC13" s="59">
        <f>IFERROR('[P008_LingoCGM_CGM_Report_FIXED.xlsx]Study Export'!CC$3,"")</f>
        <v/>
      </c>
      <c r="CD13">
        <f>IFERROR('[P008_LingoCGM_CGM_Report_FIXED.xlsx]Study Export'!CD$3,"")</f>
        <v/>
      </c>
      <c r="CE13">
        <f>IFERROR('[P008_LingoCGM_CGM_Report_FIXED.xlsx]Study Export'!CE$3,"")</f>
        <v/>
      </c>
      <c r="CF13" s="60">
        <f>IFERROR('[P008_LingoCGM_CGM_Report_FIXED.xlsx]Study Export'!CF$3,"")</f>
        <v/>
      </c>
      <c r="CG13" s="60">
        <f>IFERROR('[P008_LingoCGM_CGM_Report_FIXED.xlsx]Study Export'!CG$3,"")</f>
        <v/>
      </c>
      <c r="CH13">
        <f>IFERROR('[P008_LingoCGM_CGM_Report_FIXED.xlsx]Study Export'!CH$3,"")</f>
        <v/>
      </c>
    </row>
    <row r="14">
      <c r="A14" s="24">
        <f>IFERROR('[P009_LingoCGM_CGM_Report_FIXED.xlsx]Study Export'!A$3,"")</f>
        <v/>
      </c>
      <c r="B14" s="24">
        <f>IFERROR('[P009_LingoCGM_CGM_Report_FIXED.xlsx]Study Export'!B$3,"")</f>
        <v/>
      </c>
      <c r="C14" s="24">
        <f>IFERROR('[P009_LingoCGM_CGM_Report_FIXED.xlsx]Study Export'!C$3,"")</f>
        <v/>
      </c>
      <c r="D14" s="24">
        <f>IFERROR('[P009_LingoCGM_CGM_Report_FIXED.xlsx]Study Export'!D$3,"")</f>
        <v/>
      </c>
      <c r="E14" s="55">
        <f>IFERROR('[P009_LingoCGM_CGM_Report_FIXED.xlsx]Study Export'!E$3,"")</f>
        <v/>
      </c>
      <c r="F14" s="26">
        <f>IFERROR('[P009_LingoCGM_CGM_Report_FIXED.xlsx]Study Export'!F$3,"")</f>
        <v/>
      </c>
      <c r="G14" s="26">
        <f>IFERROR('[P009_LingoCGM_CGM_Report_FIXED.xlsx]Study Export'!G$3,"")</f>
        <v/>
      </c>
      <c r="H14" s="47">
        <f>IFERROR('[P009_LingoCGM_CGM_Report_FIXED.xlsx]Study Export'!H$3,"")</f>
        <v/>
      </c>
      <c r="I14" s="26">
        <f>IFERROR('[P009_LingoCGM_CGM_Report_FIXED.xlsx]Study Export'!I$3,"")</f>
        <v/>
      </c>
      <c r="J14" s="26">
        <f>IFERROR('[P009_LingoCGM_CGM_Report_FIXED.xlsx]Study Export'!J$3,"")</f>
        <v/>
      </c>
      <c r="K14" s="47">
        <f>IFERROR('[P009_LingoCGM_CGM_Report_FIXED.xlsx]Study Export'!K$3,"")</f>
        <v/>
      </c>
      <c r="L14" s="47">
        <f>IFERROR('[P009_LingoCGM_CGM_Report_FIXED.xlsx]Study Export'!L$3,"")</f>
        <v/>
      </c>
      <c r="M14" s="47">
        <f>IFERROR('[P009_LingoCGM_CGM_Report_FIXED.xlsx]Study Export'!M$3,"")</f>
        <v/>
      </c>
      <c r="N14" s="47">
        <f>IFERROR('[P009_LingoCGM_CGM_Report_FIXED.xlsx]Study Export'!N$3,"")</f>
        <v/>
      </c>
      <c r="O14" s="47">
        <f>IFERROR('[P009_LingoCGM_CGM_Report_FIXED.xlsx]Study Export'!O$3,"")</f>
        <v/>
      </c>
      <c r="P14" s="27">
        <f>IFERROR('[P009_LingoCGM_CGM_Report_FIXED.xlsx]Study Export'!P$3,"")</f>
        <v/>
      </c>
      <c r="Q14" s="27">
        <f>IFERROR('[P009_LingoCGM_CGM_Report_FIXED.xlsx]Study Export'!Q$3,"")</f>
        <v/>
      </c>
      <c r="R14" s="27">
        <f>IFERROR('[P009_LingoCGM_CGM_Report_FIXED.xlsx]Study Export'!R$3,"")</f>
        <v/>
      </c>
      <c r="S14" s="56">
        <f>IFERROR('[P009_LingoCGM_CGM_Report_FIXED.xlsx]Study Export'!S$3,"")</f>
        <v/>
      </c>
      <c r="T14" s="56">
        <f>IFERROR('[P009_LingoCGM_CGM_Report_FIXED.xlsx]Study Export'!T$3,"")</f>
        <v/>
      </c>
      <c r="U14" s="56">
        <f>IFERROR('[P009_LingoCGM_CGM_Report_FIXED.xlsx]Study Export'!U$3,"")</f>
        <v/>
      </c>
      <c r="V14" s="56">
        <f>IFERROR('[P009_LingoCGM_CGM_Report_FIXED.xlsx]Study Export'!V$3,"")</f>
        <v/>
      </c>
      <c r="W14" s="56">
        <f>IFERROR('[P009_LingoCGM_CGM_Report_FIXED.xlsx]Study Export'!W$3,"")</f>
        <v/>
      </c>
      <c r="X14" s="56">
        <f>IFERROR('[P009_LingoCGM_CGM_Report_FIXED.xlsx]Study Export'!X$3,"")</f>
        <v/>
      </c>
      <c r="Y14" s="56">
        <f>IFERROR('[P009_LingoCGM_CGM_Report_FIXED.xlsx]Study Export'!Y$3,"")</f>
        <v/>
      </c>
      <c r="Z14" s="56">
        <f>IFERROR('[P009_LingoCGM_CGM_Report_FIXED.xlsx]Study Export'!Z$3,"")</f>
        <v/>
      </c>
      <c r="AA14" s="56">
        <f>IFERROR('[P009_LingoCGM_CGM_Report_FIXED.xlsx]Study Export'!AA$3,"")</f>
        <v/>
      </c>
      <c r="AB14" s="56">
        <f>IFERROR('[P009_LingoCGM_CGM_Report_FIXED.xlsx]Study Export'!AB$3,"")</f>
        <v/>
      </c>
      <c r="AC14" s="56">
        <f>IFERROR('[P009_LingoCGM_CGM_Report_FIXED.xlsx]Study Export'!AC$3,"")</f>
        <v/>
      </c>
      <c r="AD14" s="56">
        <f>IFERROR('[P009_LingoCGM_CGM_Report_FIXED.xlsx]Study Export'!AD$3,"")</f>
        <v/>
      </c>
      <c r="AE14" s="56">
        <f>IFERROR('[P009_LingoCGM_CGM_Report_FIXED.xlsx]Study Export'!AE$3,"")</f>
        <v/>
      </c>
      <c r="AF14" s="56">
        <f>IFERROR('[P009_LingoCGM_CGM_Report_FIXED.xlsx]Study Export'!AF$3,"")</f>
        <v/>
      </c>
      <c r="AG14" s="56">
        <f>IFERROR('[P009_LingoCGM_CGM_Report_FIXED.xlsx]Study Export'!AG$3,"")</f>
        <v/>
      </c>
      <c r="AH14" s="27">
        <f>IFERROR('[P009_LingoCGM_CGM_Report_FIXED.xlsx]Study Export'!AH$3,"")</f>
        <v/>
      </c>
      <c r="AI14" s="27">
        <f>IFERROR('[P009_LingoCGM_CGM_Report_FIXED.xlsx]Study Export'!AI$3,"")</f>
        <v/>
      </c>
      <c r="AJ14" s="27">
        <f>IFERROR('[P009_LingoCGM_CGM_Report_FIXED.xlsx]Study Export'!AJ$3,"")</f>
        <v/>
      </c>
      <c r="AK14" s="27">
        <f>IFERROR('[P009_LingoCGM_CGM_Report_FIXED.xlsx]Study Export'!AK$3,"")</f>
        <v/>
      </c>
      <c r="AL14" s="27">
        <f>IFERROR('[P009_LingoCGM_CGM_Report_FIXED.xlsx]Study Export'!AL$3,"")</f>
        <v/>
      </c>
      <c r="AM14" s="27">
        <f>IFERROR('[P009_LingoCGM_CGM_Report_FIXED.xlsx]Study Export'!AM$3,"")</f>
        <v/>
      </c>
      <c r="AN14" s="27">
        <f>IFERROR('[P009_LingoCGM_CGM_Report_FIXED.xlsx]Study Export'!AN$3,"")</f>
        <v/>
      </c>
      <c r="AO14" s="27">
        <f>IFERROR('[P009_LingoCGM_CGM_Report_FIXED.xlsx]Study Export'!AO$3,"")</f>
        <v/>
      </c>
      <c r="AP14" s="27">
        <f>IFERROR('[P009_LingoCGM_CGM_Report_FIXED.xlsx]Study Export'!AP$3,"")</f>
        <v/>
      </c>
      <c r="AQ14" s="27">
        <f>IFERROR('[P009_LingoCGM_CGM_Report_FIXED.xlsx]Study Export'!AQ$3,"")</f>
        <v/>
      </c>
      <c r="AR14" s="27">
        <f>IFERROR('[P009_LingoCGM_CGM_Report_FIXED.xlsx]Study Export'!AR$3,"")</f>
        <v/>
      </c>
      <c r="AS14" s="27">
        <f>IFERROR('[P009_LingoCGM_CGM_Report_FIXED.xlsx]Study Export'!AS$3,"")</f>
        <v/>
      </c>
      <c r="AT14" s="47">
        <f>IFERROR('[P009_LingoCGM_CGM_Report_FIXED.xlsx]Study Export'!AT$3,"")</f>
        <v/>
      </c>
      <c r="AU14" s="47">
        <f>IFERROR('[P009_LingoCGM_CGM_Report_FIXED.xlsx]Study Export'!AU$3,"")</f>
        <v/>
      </c>
      <c r="AV14" s="47">
        <f>IFERROR('[P009_LingoCGM_CGM_Report_FIXED.xlsx]Study Export'!AV$3,"")</f>
        <v/>
      </c>
      <c r="AW14" s="56">
        <f>IFERROR('[P009_LingoCGM_CGM_Report_FIXED.xlsx]Study Export'!AW$3,"")</f>
        <v/>
      </c>
      <c r="AX14" s="56">
        <f>IFERROR('[P009_LingoCGM_CGM_Report_FIXED.xlsx]Study Export'!AX$3,"")</f>
        <v/>
      </c>
      <c r="AY14" s="56">
        <f>IFERROR('[P009_LingoCGM_CGM_Report_FIXED.xlsx]Study Export'!AY$3,"")</f>
        <v/>
      </c>
      <c r="AZ14" s="47">
        <f>IFERROR('[P009_LingoCGM_CGM_Report_FIXED.xlsx]Study Export'!AZ$3,"")</f>
        <v/>
      </c>
      <c r="BA14" s="47">
        <f>IFERROR('[P009_LingoCGM_CGM_Report_FIXED.xlsx]Study Export'!BA$3,"")</f>
        <v/>
      </c>
      <c r="BB14" s="47">
        <f>IFERROR('[P009_LingoCGM_CGM_Report_FIXED.xlsx]Study Export'!BB$3,"")</f>
        <v/>
      </c>
      <c r="BC14" s="27">
        <f>IFERROR('[P009_LingoCGM_CGM_Report_FIXED.xlsx]Study Export'!BC$3,"")</f>
        <v/>
      </c>
      <c r="BD14" s="27">
        <f>IFERROR('[P009_LingoCGM_CGM_Report_FIXED.xlsx]Study Export'!BD$3,"")</f>
        <v/>
      </c>
      <c r="BE14" s="27">
        <f>IFERROR('[P009_LingoCGM_CGM_Report_FIXED.xlsx]Study Export'!BE$3,"")</f>
        <v/>
      </c>
      <c r="BF14" s="47">
        <f>IFERROR('[P009_LingoCGM_CGM_Report_FIXED.xlsx]Study Export'!BF$3,"")</f>
        <v/>
      </c>
      <c r="BG14" s="47">
        <f>IFERROR('[P009_LingoCGM_CGM_Report_FIXED.xlsx]Study Export'!BG$3,"")</f>
        <v/>
      </c>
      <c r="BH14" s="47">
        <f>IFERROR('[P009_LingoCGM_CGM_Report_FIXED.xlsx]Study Export'!BH$3,"")</f>
        <v/>
      </c>
      <c r="BI14" s="47">
        <f>IFERROR('[P009_LingoCGM_CGM_Report_FIXED.xlsx]Study Export'!BI$3,"")</f>
        <v/>
      </c>
      <c r="BJ14" s="47">
        <f>IFERROR('[P009_LingoCGM_CGM_Report_FIXED.xlsx]Study Export'!BJ$3,"")</f>
        <v/>
      </c>
      <c r="BK14" s="47">
        <f>IFERROR('[P009_LingoCGM_CGM_Report_FIXED.xlsx]Study Export'!BK$3,"")</f>
        <v/>
      </c>
      <c r="BL14" s="47">
        <f>IFERROR('[P009_LingoCGM_CGM_Report_FIXED.xlsx]Study Export'!BL$3,"")</f>
        <v/>
      </c>
      <c r="BM14" s="47">
        <f>IFERROR('[P009_LingoCGM_CGM_Report_FIXED.xlsx]Study Export'!BM$3,"")</f>
        <v/>
      </c>
      <c r="BN14" s="47">
        <f>IFERROR('[P009_LingoCGM_CGM_Report_FIXED.xlsx]Study Export'!BN$3,"")</f>
        <v/>
      </c>
      <c r="BO14" s="47">
        <f>IFERROR('[P009_LingoCGM_CGM_Report_FIXED.xlsx]Study Export'!BO$3,"")</f>
        <v/>
      </c>
      <c r="BP14" s="47">
        <f>IFERROR('[P009_LingoCGM_CGM_Report_FIXED.xlsx]Study Export'!BP$3,"")</f>
        <v/>
      </c>
      <c r="BQ14" s="47">
        <f>IFERROR('[P009_LingoCGM_CGM_Report_FIXED.xlsx]Study Export'!BQ$3,"")</f>
        <v/>
      </c>
      <c r="BR14" s="47">
        <f>IFERROR('[P009_LingoCGM_CGM_Report_FIXED.xlsx]Study Export'!BR$3,"")</f>
        <v/>
      </c>
      <c r="BS14" s="47">
        <f>IFERROR('[P009_LingoCGM_CGM_Report_FIXED.xlsx]Study Export'!BS$3,"")</f>
        <v/>
      </c>
      <c r="BT14" s="47">
        <f>IFERROR('[P009_LingoCGM_CGM_Report_FIXED.xlsx]Study Export'!BT$3,"")</f>
        <v/>
      </c>
      <c r="BU14" s="47">
        <f>IFERROR('[P009_LingoCGM_CGM_Report_FIXED.xlsx]Study Export'!BU$3,"")</f>
        <v/>
      </c>
      <c r="BV14" s="47">
        <f>IFERROR('[P009_LingoCGM_CGM_Report_FIXED.xlsx]Study Export'!BV$3,"")</f>
        <v/>
      </c>
      <c r="BW14" s="47">
        <f>IFERROR('[P009_LingoCGM_CGM_Report_FIXED.xlsx]Study Export'!BW$3,"")</f>
        <v/>
      </c>
      <c r="BX14">
        <f>IFERROR('[P009_LingoCGM_CGM_Report_FIXED.xlsx]Study Export'!BX$3,"")</f>
        <v/>
      </c>
      <c r="BY14" s="57">
        <f>IFERROR('[P009_LingoCGM_CGM_Report_FIXED.xlsx]Study Export'!BY$3,"")</f>
        <v/>
      </c>
      <c r="BZ14" s="57">
        <f>IFERROR('[P009_LingoCGM_CGM_Report_FIXED.xlsx]Study Export'!BZ$3,"")</f>
        <v/>
      </c>
      <c r="CA14" s="57">
        <f>IFERROR('[P009_LingoCGM_CGM_Report_FIXED.xlsx]Study Export'!CA$3,"")</f>
        <v/>
      </c>
      <c r="CB14" s="58">
        <f>IFERROR('[P009_LingoCGM_CGM_Report_FIXED.xlsx]Study Export'!CB$3,"")</f>
        <v/>
      </c>
      <c r="CC14" s="59">
        <f>IFERROR('[P009_LingoCGM_CGM_Report_FIXED.xlsx]Study Export'!CC$3,"")</f>
        <v/>
      </c>
      <c r="CD14">
        <f>IFERROR('[P009_LingoCGM_CGM_Report_FIXED.xlsx]Study Export'!CD$3,"")</f>
        <v/>
      </c>
      <c r="CE14">
        <f>IFERROR('[P009_LingoCGM_CGM_Report_FIXED.xlsx]Study Export'!CE$3,"")</f>
        <v/>
      </c>
      <c r="CF14" s="60">
        <f>IFERROR('[P009_LingoCGM_CGM_Report_FIXED.xlsx]Study Export'!CF$3,"")</f>
        <v/>
      </c>
      <c r="CG14" s="60">
        <f>IFERROR('[P009_LingoCGM_CGM_Report_FIXED.xlsx]Study Export'!CG$3,"")</f>
        <v/>
      </c>
      <c r="CH14">
        <f>IFERROR('[P009_LingoCGM_CGM_Report_FIXED.xlsx]Study Export'!CH$3,"")</f>
        <v/>
      </c>
    </row>
    <row r="15">
      <c r="A15" s="24">
        <f>IFERROR('[P010_LingoCGM_CGM_Report_FIXED.xlsx]Study Export'!A$3,"")</f>
        <v/>
      </c>
      <c r="B15" s="24">
        <f>IFERROR('[P010_LingoCGM_CGM_Report_FIXED.xlsx]Study Export'!B$3,"")</f>
        <v/>
      </c>
      <c r="C15" s="24">
        <f>IFERROR('[P010_LingoCGM_CGM_Report_FIXED.xlsx]Study Export'!C$3,"")</f>
        <v/>
      </c>
      <c r="D15" s="24">
        <f>IFERROR('[P010_LingoCGM_CGM_Report_FIXED.xlsx]Study Export'!D$3,"")</f>
        <v/>
      </c>
      <c r="E15" s="55">
        <f>IFERROR('[P010_LingoCGM_CGM_Report_FIXED.xlsx]Study Export'!E$3,"")</f>
        <v/>
      </c>
      <c r="F15" s="26">
        <f>IFERROR('[P010_LingoCGM_CGM_Report_FIXED.xlsx]Study Export'!F$3,"")</f>
        <v/>
      </c>
      <c r="G15" s="26">
        <f>IFERROR('[P010_LingoCGM_CGM_Report_FIXED.xlsx]Study Export'!G$3,"")</f>
        <v/>
      </c>
      <c r="H15" s="47">
        <f>IFERROR('[P010_LingoCGM_CGM_Report_FIXED.xlsx]Study Export'!H$3,"")</f>
        <v/>
      </c>
      <c r="I15" s="26">
        <f>IFERROR('[P010_LingoCGM_CGM_Report_FIXED.xlsx]Study Export'!I$3,"")</f>
        <v/>
      </c>
      <c r="J15" s="26">
        <f>IFERROR('[P010_LingoCGM_CGM_Report_FIXED.xlsx]Study Export'!J$3,"")</f>
        <v/>
      </c>
      <c r="K15" s="47">
        <f>IFERROR('[P010_LingoCGM_CGM_Report_FIXED.xlsx]Study Export'!K$3,"")</f>
        <v/>
      </c>
      <c r="L15" s="47">
        <f>IFERROR('[P010_LingoCGM_CGM_Report_FIXED.xlsx]Study Export'!L$3,"")</f>
        <v/>
      </c>
      <c r="M15" s="47">
        <f>IFERROR('[P010_LingoCGM_CGM_Report_FIXED.xlsx]Study Export'!M$3,"")</f>
        <v/>
      </c>
      <c r="N15" s="47">
        <f>IFERROR('[P010_LingoCGM_CGM_Report_FIXED.xlsx]Study Export'!N$3,"")</f>
        <v/>
      </c>
      <c r="O15" s="47">
        <f>IFERROR('[P010_LingoCGM_CGM_Report_FIXED.xlsx]Study Export'!O$3,"")</f>
        <v/>
      </c>
      <c r="P15" s="27">
        <f>IFERROR('[P010_LingoCGM_CGM_Report_FIXED.xlsx]Study Export'!P$3,"")</f>
        <v/>
      </c>
      <c r="Q15" s="27">
        <f>IFERROR('[P010_LingoCGM_CGM_Report_FIXED.xlsx]Study Export'!Q$3,"")</f>
        <v/>
      </c>
      <c r="R15" s="27">
        <f>IFERROR('[P010_LingoCGM_CGM_Report_FIXED.xlsx]Study Export'!R$3,"")</f>
        <v/>
      </c>
      <c r="S15" s="56">
        <f>IFERROR('[P010_LingoCGM_CGM_Report_FIXED.xlsx]Study Export'!S$3,"")</f>
        <v/>
      </c>
      <c r="T15" s="56">
        <f>IFERROR('[P010_LingoCGM_CGM_Report_FIXED.xlsx]Study Export'!T$3,"")</f>
        <v/>
      </c>
      <c r="U15" s="56">
        <f>IFERROR('[P010_LingoCGM_CGM_Report_FIXED.xlsx]Study Export'!U$3,"")</f>
        <v/>
      </c>
      <c r="V15" s="56">
        <f>IFERROR('[P010_LingoCGM_CGM_Report_FIXED.xlsx]Study Export'!V$3,"")</f>
        <v/>
      </c>
      <c r="W15" s="56">
        <f>IFERROR('[P010_LingoCGM_CGM_Report_FIXED.xlsx]Study Export'!W$3,"")</f>
        <v/>
      </c>
      <c r="X15" s="56">
        <f>IFERROR('[P010_LingoCGM_CGM_Report_FIXED.xlsx]Study Export'!X$3,"")</f>
        <v/>
      </c>
      <c r="Y15" s="56">
        <f>IFERROR('[P010_LingoCGM_CGM_Report_FIXED.xlsx]Study Export'!Y$3,"")</f>
        <v/>
      </c>
      <c r="Z15" s="56">
        <f>IFERROR('[P010_LingoCGM_CGM_Report_FIXED.xlsx]Study Export'!Z$3,"")</f>
        <v/>
      </c>
      <c r="AA15" s="56">
        <f>IFERROR('[P010_LingoCGM_CGM_Report_FIXED.xlsx]Study Export'!AA$3,"")</f>
        <v/>
      </c>
      <c r="AB15" s="56">
        <f>IFERROR('[P010_LingoCGM_CGM_Report_FIXED.xlsx]Study Export'!AB$3,"")</f>
        <v/>
      </c>
      <c r="AC15" s="56">
        <f>IFERROR('[P010_LingoCGM_CGM_Report_FIXED.xlsx]Study Export'!AC$3,"")</f>
        <v/>
      </c>
      <c r="AD15" s="56">
        <f>IFERROR('[P010_LingoCGM_CGM_Report_FIXED.xlsx]Study Export'!AD$3,"")</f>
        <v/>
      </c>
      <c r="AE15" s="56">
        <f>IFERROR('[P010_LingoCGM_CGM_Report_FIXED.xlsx]Study Export'!AE$3,"")</f>
        <v/>
      </c>
      <c r="AF15" s="56">
        <f>IFERROR('[P010_LingoCGM_CGM_Report_FIXED.xlsx]Study Export'!AF$3,"")</f>
        <v/>
      </c>
      <c r="AG15" s="56">
        <f>IFERROR('[P010_LingoCGM_CGM_Report_FIXED.xlsx]Study Export'!AG$3,"")</f>
        <v/>
      </c>
      <c r="AH15" s="27">
        <f>IFERROR('[P010_LingoCGM_CGM_Report_FIXED.xlsx]Study Export'!AH$3,"")</f>
        <v/>
      </c>
      <c r="AI15" s="27">
        <f>IFERROR('[P010_LingoCGM_CGM_Report_FIXED.xlsx]Study Export'!AI$3,"")</f>
        <v/>
      </c>
      <c r="AJ15" s="27">
        <f>IFERROR('[P010_LingoCGM_CGM_Report_FIXED.xlsx]Study Export'!AJ$3,"")</f>
        <v/>
      </c>
      <c r="AK15" s="27">
        <f>IFERROR('[P010_LingoCGM_CGM_Report_FIXED.xlsx]Study Export'!AK$3,"")</f>
        <v/>
      </c>
      <c r="AL15" s="27">
        <f>IFERROR('[P010_LingoCGM_CGM_Report_FIXED.xlsx]Study Export'!AL$3,"")</f>
        <v/>
      </c>
      <c r="AM15" s="27">
        <f>IFERROR('[P010_LingoCGM_CGM_Report_FIXED.xlsx]Study Export'!AM$3,"")</f>
        <v/>
      </c>
      <c r="AN15" s="27">
        <f>IFERROR('[P010_LingoCGM_CGM_Report_FIXED.xlsx]Study Export'!AN$3,"")</f>
        <v/>
      </c>
      <c r="AO15" s="27">
        <f>IFERROR('[P010_LingoCGM_CGM_Report_FIXED.xlsx]Study Export'!AO$3,"")</f>
        <v/>
      </c>
      <c r="AP15" s="27">
        <f>IFERROR('[P010_LingoCGM_CGM_Report_FIXED.xlsx]Study Export'!AP$3,"")</f>
        <v/>
      </c>
      <c r="AQ15" s="27">
        <f>IFERROR('[P010_LingoCGM_CGM_Report_FIXED.xlsx]Study Export'!AQ$3,"")</f>
        <v/>
      </c>
      <c r="AR15" s="27">
        <f>IFERROR('[P010_LingoCGM_CGM_Report_FIXED.xlsx]Study Export'!AR$3,"")</f>
        <v/>
      </c>
      <c r="AS15" s="27">
        <f>IFERROR('[P010_LingoCGM_CGM_Report_FIXED.xlsx]Study Export'!AS$3,"")</f>
        <v/>
      </c>
      <c r="AT15" s="47">
        <f>IFERROR('[P010_LingoCGM_CGM_Report_FIXED.xlsx]Study Export'!AT$3,"")</f>
        <v/>
      </c>
      <c r="AU15" s="47">
        <f>IFERROR('[P010_LingoCGM_CGM_Report_FIXED.xlsx]Study Export'!AU$3,"")</f>
        <v/>
      </c>
      <c r="AV15" s="47">
        <f>IFERROR('[P010_LingoCGM_CGM_Report_FIXED.xlsx]Study Export'!AV$3,"")</f>
        <v/>
      </c>
      <c r="AW15" s="56">
        <f>IFERROR('[P010_LingoCGM_CGM_Report_FIXED.xlsx]Study Export'!AW$3,"")</f>
        <v/>
      </c>
      <c r="AX15" s="56">
        <f>IFERROR('[P010_LingoCGM_CGM_Report_FIXED.xlsx]Study Export'!AX$3,"")</f>
        <v/>
      </c>
      <c r="AY15" s="56">
        <f>IFERROR('[P010_LingoCGM_CGM_Report_FIXED.xlsx]Study Export'!AY$3,"")</f>
        <v/>
      </c>
      <c r="AZ15" s="47">
        <f>IFERROR('[P010_LingoCGM_CGM_Report_FIXED.xlsx]Study Export'!AZ$3,"")</f>
        <v/>
      </c>
      <c r="BA15" s="47">
        <f>IFERROR('[P010_LingoCGM_CGM_Report_FIXED.xlsx]Study Export'!BA$3,"")</f>
        <v/>
      </c>
      <c r="BB15" s="47">
        <f>IFERROR('[P010_LingoCGM_CGM_Report_FIXED.xlsx]Study Export'!BB$3,"")</f>
        <v/>
      </c>
      <c r="BC15" s="27">
        <f>IFERROR('[P010_LingoCGM_CGM_Report_FIXED.xlsx]Study Export'!BC$3,"")</f>
        <v/>
      </c>
      <c r="BD15" s="27">
        <f>IFERROR('[P010_LingoCGM_CGM_Report_FIXED.xlsx]Study Export'!BD$3,"")</f>
        <v/>
      </c>
      <c r="BE15" s="27">
        <f>IFERROR('[P010_LingoCGM_CGM_Report_FIXED.xlsx]Study Export'!BE$3,"")</f>
        <v/>
      </c>
      <c r="BF15" s="47">
        <f>IFERROR('[P010_LingoCGM_CGM_Report_FIXED.xlsx]Study Export'!BF$3,"")</f>
        <v/>
      </c>
      <c r="BG15" s="47">
        <f>IFERROR('[P010_LingoCGM_CGM_Report_FIXED.xlsx]Study Export'!BG$3,"")</f>
        <v/>
      </c>
      <c r="BH15" s="47">
        <f>IFERROR('[P010_LingoCGM_CGM_Report_FIXED.xlsx]Study Export'!BH$3,"")</f>
        <v/>
      </c>
      <c r="BI15" s="47">
        <f>IFERROR('[P010_LingoCGM_CGM_Report_FIXED.xlsx]Study Export'!BI$3,"")</f>
        <v/>
      </c>
      <c r="BJ15" s="47">
        <f>IFERROR('[P010_LingoCGM_CGM_Report_FIXED.xlsx]Study Export'!BJ$3,"")</f>
        <v/>
      </c>
      <c r="BK15" s="47">
        <f>IFERROR('[P010_LingoCGM_CGM_Report_FIXED.xlsx]Study Export'!BK$3,"")</f>
        <v/>
      </c>
      <c r="BL15" s="47">
        <f>IFERROR('[P010_LingoCGM_CGM_Report_FIXED.xlsx]Study Export'!BL$3,"")</f>
        <v/>
      </c>
      <c r="BM15" s="47">
        <f>IFERROR('[P010_LingoCGM_CGM_Report_FIXED.xlsx]Study Export'!BM$3,"")</f>
        <v/>
      </c>
      <c r="BN15" s="47">
        <f>IFERROR('[P010_LingoCGM_CGM_Report_FIXED.xlsx]Study Export'!BN$3,"")</f>
        <v/>
      </c>
      <c r="BO15" s="47">
        <f>IFERROR('[P010_LingoCGM_CGM_Report_FIXED.xlsx]Study Export'!BO$3,"")</f>
        <v/>
      </c>
      <c r="BP15" s="47">
        <f>IFERROR('[P010_LingoCGM_CGM_Report_FIXED.xlsx]Study Export'!BP$3,"")</f>
        <v/>
      </c>
      <c r="BQ15" s="47">
        <f>IFERROR('[P010_LingoCGM_CGM_Report_FIXED.xlsx]Study Export'!BQ$3,"")</f>
        <v/>
      </c>
      <c r="BR15" s="47">
        <f>IFERROR('[P010_LingoCGM_CGM_Report_FIXED.xlsx]Study Export'!BR$3,"")</f>
        <v/>
      </c>
      <c r="BS15" s="47">
        <f>IFERROR('[P010_LingoCGM_CGM_Report_FIXED.xlsx]Study Export'!BS$3,"")</f>
        <v/>
      </c>
      <c r="BT15" s="47">
        <f>IFERROR('[P010_LingoCGM_CGM_Report_FIXED.xlsx]Study Export'!BT$3,"")</f>
        <v/>
      </c>
      <c r="BU15" s="47">
        <f>IFERROR('[P010_LingoCGM_CGM_Report_FIXED.xlsx]Study Export'!BU$3,"")</f>
        <v/>
      </c>
      <c r="BV15" s="47">
        <f>IFERROR('[P010_LingoCGM_CGM_Report_FIXED.xlsx]Study Export'!BV$3,"")</f>
        <v/>
      </c>
      <c r="BW15" s="47">
        <f>IFERROR('[P010_LingoCGM_CGM_Report_FIXED.xlsx]Study Export'!BW$3,"")</f>
        <v/>
      </c>
      <c r="BX15">
        <f>IFERROR('[P010_LingoCGM_CGM_Report_FIXED.xlsx]Study Export'!BX$3,"")</f>
        <v/>
      </c>
      <c r="BY15" s="57">
        <f>IFERROR('[P010_LingoCGM_CGM_Report_FIXED.xlsx]Study Export'!BY$3,"")</f>
        <v/>
      </c>
      <c r="BZ15" s="57">
        <f>IFERROR('[P010_LingoCGM_CGM_Report_FIXED.xlsx]Study Export'!BZ$3,"")</f>
        <v/>
      </c>
      <c r="CA15" s="57">
        <f>IFERROR('[P010_LingoCGM_CGM_Report_FIXED.xlsx]Study Export'!CA$3,"")</f>
        <v/>
      </c>
      <c r="CB15" s="58">
        <f>IFERROR('[P010_LingoCGM_CGM_Report_FIXED.xlsx]Study Export'!CB$3,"")</f>
        <v/>
      </c>
      <c r="CC15" s="59">
        <f>IFERROR('[P010_LingoCGM_CGM_Report_FIXED.xlsx]Study Export'!CC$3,"")</f>
        <v/>
      </c>
      <c r="CD15">
        <f>IFERROR('[P010_LingoCGM_CGM_Report_FIXED.xlsx]Study Export'!CD$3,"")</f>
        <v/>
      </c>
      <c r="CE15">
        <f>IFERROR('[P010_LingoCGM_CGM_Report_FIXED.xlsx]Study Export'!CE$3,"")</f>
        <v/>
      </c>
      <c r="CF15" s="60">
        <f>IFERROR('[P010_LingoCGM_CGM_Report_FIXED.xlsx]Study Export'!CF$3,"")</f>
        <v/>
      </c>
      <c r="CG15" s="60">
        <f>IFERROR('[P010_LingoCGM_CGM_Report_FIXED.xlsx]Study Export'!CG$3,"")</f>
        <v/>
      </c>
      <c r="CH15">
        <f>IFERROR('[P010_LingoCGM_CGM_Report_FIXED.xlsx]Study Export'!CH$3,"")</f>
        <v/>
      </c>
    </row>
    <row r="16">
      <c r="A16" s="24">
        <f>IFERROR('[P011_LingoCGM_CGM_Report_FIXED.xlsx]Study Export'!A$3,"")</f>
        <v/>
      </c>
      <c r="B16" s="24">
        <f>IFERROR('[P011_LingoCGM_CGM_Report_FIXED.xlsx]Study Export'!B$3,"")</f>
        <v/>
      </c>
      <c r="C16" s="24">
        <f>IFERROR('[P011_LingoCGM_CGM_Report_FIXED.xlsx]Study Export'!C$3,"")</f>
        <v/>
      </c>
      <c r="D16" s="24">
        <f>IFERROR('[P011_LingoCGM_CGM_Report_FIXED.xlsx]Study Export'!D$3,"")</f>
        <v/>
      </c>
      <c r="E16" s="55">
        <f>IFERROR('[P011_LingoCGM_CGM_Report_FIXED.xlsx]Study Export'!E$3,"")</f>
        <v/>
      </c>
      <c r="F16" s="26">
        <f>IFERROR('[P011_LingoCGM_CGM_Report_FIXED.xlsx]Study Export'!F$3,"")</f>
        <v/>
      </c>
      <c r="G16" s="26">
        <f>IFERROR('[P011_LingoCGM_CGM_Report_FIXED.xlsx]Study Export'!G$3,"")</f>
        <v/>
      </c>
      <c r="H16" s="47">
        <f>IFERROR('[P011_LingoCGM_CGM_Report_FIXED.xlsx]Study Export'!H$3,"")</f>
        <v/>
      </c>
      <c r="I16" s="26">
        <f>IFERROR('[P011_LingoCGM_CGM_Report_FIXED.xlsx]Study Export'!I$3,"")</f>
        <v/>
      </c>
      <c r="J16" s="26">
        <f>IFERROR('[P011_LingoCGM_CGM_Report_FIXED.xlsx]Study Export'!J$3,"")</f>
        <v/>
      </c>
      <c r="K16" s="47">
        <f>IFERROR('[P011_LingoCGM_CGM_Report_FIXED.xlsx]Study Export'!K$3,"")</f>
        <v/>
      </c>
      <c r="L16" s="47">
        <f>IFERROR('[P011_LingoCGM_CGM_Report_FIXED.xlsx]Study Export'!L$3,"")</f>
        <v/>
      </c>
      <c r="M16" s="47">
        <f>IFERROR('[P011_LingoCGM_CGM_Report_FIXED.xlsx]Study Export'!M$3,"")</f>
        <v/>
      </c>
      <c r="N16" s="47">
        <f>IFERROR('[P011_LingoCGM_CGM_Report_FIXED.xlsx]Study Export'!N$3,"")</f>
        <v/>
      </c>
      <c r="O16" s="47">
        <f>IFERROR('[P011_LingoCGM_CGM_Report_FIXED.xlsx]Study Export'!O$3,"")</f>
        <v/>
      </c>
      <c r="P16" s="27">
        <f>IFERROR('[P011_LingoCGM_CGM_Report_FIXED.xlsx]Study Export'!P$3,"")</f>
        <v/>
      </c>
      <c r="Q16" s="27">
        <f>IFERROR('[P011_LingoCGM_CGM_Report_FIXED.xlsx]Study Export'!Q$3,"")</f>
        <v/>
      </c>
      <c r="R16" s="27">
        <f>IFERROR('[P011_LingoCGM_CGM_Report_FIXED.xlsx]Study Export'!R$3,"")</f>
        <v/>
      </c>
      <c r="S16" s="56">
        <f>IFERROR('[P011_LingoCGM_CGM_Report_FIXED.xlsx]Study Export'!S$3,"")</f>
        <v/>
      </c>
      <c r="T16" s="56">
        <f>IFERROR('[P011_LingoCGM_CGM_Report_FIXED.xlsx]Study Export'!T$3,"")</f>
        <v/>
      </c>
      <c r="U16" s="56">
        <f>IFERROR('[P011_LingoCGM_CGM_Report_FIXED.xlsx]Study Export'!U$3,"")</f>
        <v/>
      </c>
      <c r="V16" s="56">
        <f>IFERROR('[P011_LingoCGM_CGM_Report_FIXED.xlsx]Study Export'!V$3,"")</f>
        <v/>
      </c>
      <c r="W16" s="56">
        <f>IFERROR('[P011_LingoCGM_CGM_Report_FIXED.xlsx]Study Export'!W$3,"")</f>
        <v/>
      </c>
      <c r="X16" s="56">
        <f>IFERROR('[P011_LingoCGM_CGM_Report_FIXED.xlsx]Study Export'!X$3,"")</f>
        <v/>
      </c>
      <c r="Y16" s="56">
        <f>IFERROR('[P011_LingoCGM_CGM_Report_FIXED.xlsx]Study Export'!Y$3,"")</f>
        <v/>
      </c>
      <c r="Z16" s="56">
        <f>IFERROR('[P011_LingoCGM_CGM_Report_FIXED.xlsx]Study Export'!Z$3,"")</f>
        <v/>
      </c>
      <c r="AA16" s="56">
        <f>IFERROR('[P011_LingoCGM_CGM_Report_FIXED.xlsx]Study Export'!AA$3,"")</f>
        <v/>
      </c>
      <c r="AB16" s="56">
        <f>IFERROR('[P011_LingoCGM_CGM_Report_FIXED.xlsx]Study Export'!AB$3,"")</f>
        <v/>
      </c>
      <c r="AC16" s="56">
        <f>IFERROR('[P011_LingoCGM_CGM_Report_FIXED.xlsx]Study Export'!AC$3,"")</f>
        <v/>
      </c>
      <c r="AD16" s="56">
        <f>IFERROR('[P011_LingoCGM_CGM_Report_FIXED.xlsx]Study Export'!AD$3,"")</f>
        <v/>
      </c>
      <c r="AE16" s="56">
        <f>IFERROR('[P011_LingoCGM_CGM_Report_FIXED.xlsx]Study Export'!AE$3,"")</f>
        <v/>
      </c>
      <c r="AF16" s="56">
        <f>IFERROR('[P011_LingoCGM_CGM_Report_FIXED.xlsx]Study Export'!AF$3,"")</f>
        <v/>
      </c>
      <c r="AG16" s="56">
        <f>IFERROR('[P011_LingoCGM_CGM_Report_FIXED.xlsx]Study Export'!AG$3,"")</f>
        <v/>
      </c>
      <c r="AH16" s="27">
        <f>IFERROR('[P011_LingoCGM_CGM_Report_FIXED.xlsx]Study Export'!AH$3,"")</f>
        <v/>
      </c>
      <c r="AI16" s="27">
        <f>IFERROR('[P011_LingoCGM_CGM_Report_FIXED.xlsx]Study Export'!AI$3,"")</f>
        <v/>
      </c>
      <c r="AJ16" s="27">
        <f>IFERROR('[P011_LingoCGM_CGM_Report_FIXED.xlsx]Study Export'!AJ$3,"")</f>
        <v/>
      </c>
      <c r="AK16" s="27">
        <f>IFERROR('[P011_LingoCGM_CGM_Report_FIXED.xlsx]Study Export'!AK$3,"")</f>
        <v/>
      </c>
      <c r="AL16" s="27">
        <f>IFERROR('[P011_LingoCGM_CGM_Report_FIXED.xlsx]Study Export'!AL$3,"")</f>
        <v/>
      </c>
      <c r="AM16" s="27">
        <f>IFERROR('[P011_LingoCGM_CGM_Report_FIXED.xlsx]Study Export'!AM$3,"")</f>
        <v/>
      </c>
      <c r="AN16" s="27">
        <f>IFERROR('[P011_LingoCGM_CGM_Report_FIXED.xlsx]Study Export'!AN$3,"")</f>
        <v/>
      </c>
      <c r="AO16" s="27">
        <f>IFERROR('[P011_LingoCGM_CGM_Report_FIXED.xlsx]Study Export'!AO$3,"")</f>
        <v/>
      </c>
      <c r="AP16" s="27">
        <f>IFERROR('[P011_LingoCGM_CGM_Report_FIXED.xlsx]Study Export'!AP$3,"")</f>
        <v/>
      </c>
      <c r="AQ16" s="27">
        <f>IFERROR('[P011_LingoCGM_CGM_Report_FIXED.xlsx]Study Export'!AQ$3,"")</f>
        <v/>
      </c>
      <c r="AR16" s="27">
        <f>IFERROR('[P011_LingoCGM_CGM_Report_FIXED.xlsx]Study Export'!AR$3,"")</f>
        <v/>
      </c>
      <c r="AS16" s="27">
        <f>IFERROR('[P011_LingoCGM_CGM_Report_FIXED.xlsx]Study Export'!AS$3,"")</f>
        <v/>
      </c>
      <c r="AT16" s="47">
        <f>IFERROR('[P011_LingoCGM_CGM_Report_FIXED.xlsx]Study Export'!AT$3,"")</f>
        <v/>
      </c>
      <c r="AU16" s="47">
        <f>IFERROR('[P011_LingoCGM_CGM_Report_FIXED.xlsx]Study Export'!AU$3,"")</f>
        <v/>
      </c>
      <c r="AV16" s="47">
        <f>IFERROR('[P011_LingoCGM_CGM_Report_FIXED.xlsx]Study Export'!AV$3,"")</f>
        <v/>
      </c>
      <c r="AW16" s="56">
        <f>IFERROR('[P011_LingoCGM_CGM_Report_FIXED.xlsx]Study Export'!AW$3,"")</f>
        <v/>
      </c>
      <c r="AX16" s="56">
        <f>IFERROR('[P011_LingoCGM_CGM_Report_FIXED.xlsx]Study Export'!AX$3,"")</f>
        <v/>
      </c>
      <c r="AY16" s="56">
        <f>IFERROR('[P011_LingoCGM_CGM_Report_FIXED.xlsx]Study Export'!AY$3,"")</f>
        <v/>
      </c>
      <c r="AZ16" s="47">
        <f>IFERROR('[P011_LingoCGM_CGM_Report_FIXED.xlsx]Study Export'!AZ$3,"")</f>
        <v/>
      </c>
      <c r="BA16" s="47">
        <f>IFERROR('[P011_LingoCGM_CGM_Report_FIXED.xlsx]Study Export'!BA$3,"")</f>
        <v/>
      </c>
      <c r="BB16" s="47">
        <f>IFERROR('[P011_LingoCGM_CGM_Report_FIXED.xlsx]Study Export'!BB$3,"")</f>
        <v/>
      </c>
      <c r="BC16" s="27">
        <f>IFERROR('[P011_LingoCGM_CGM_Report_FIXED.xlsx]Study Export'!BC$3,"")</f>
        <v/>
      </c>
      <c r="BD16" s="27">
        <f>IFERROR('[P011_LingoCGM_CGM_Report_FIXED.xlsx]Study Export'!BD$3,"")</f>
        <v/>
      </c>
      <c r="BE16" s="27">
        <f>IFERROR('[P011_LingoCGM_CGM_Report_FIXED.xlsx]Study Export'!BE$3,"")</f>
        <v/>
      </c>
      <c r="BF16" s="47">
        <f>IFERROR('[P011_LingoCGM_CGM_Report_FIXED.xlsx]Study Export'!BF$3,"")</f>
        <v/>
      </c>
      <c r="BG16" s="47">
        <f>IFERROR('[P011_LingoCGM_CGM_Report_FIXED.xlsx]Study Export'!BG$3,"")</f>
        <v/>
      </c>
      <c r="BH16" s="47">
        <f>IFERROR('[P011_LingoCGM_CGM_Report_FIXED.xlsx]Study Export'!BH$3,"")</f>
        <v/>
      </c>
      <c r="BI16" s="47">
        <f>IFERROR('[P011_LingoCGM_CGM_Report_FIXED.xlsx]Study Export'!BI$3,"")</f>
        <v/>
      </c>
      <c r="BJ16" s="47">
        <f>IFERROR('[P011_LingoCGM_CGM_Report_FIXED.xlsx]Study Export'!BJ$3,"")</f>
        <v/>
      </c>
      <c r="BK16" s="47">
        <f>IFERROR('[P011_LingoCGM_CGM_Report_FIXED.xlsx]Study Export'!BK$3,"")</f>
        <v/>
      </c>
      <c r="BL16" s="47">
        <f>IFERROR('[P011_LingoCGM_CGM_Report_FIXED.xlsx]Study Export'!BL$3,"")</f>
        <v/>
      </c>
      <c r="BM16" s="47">
        <f>IFERROR('[P011_LingoCGM_CGM_Report_FIXED.xlsx]Study Export'!BM$3,"")</f>
        <v/>
      </c>
      <c r="BN16" s="47">
        <f>IFERROR('[P011_LingoCGM_CGM_Report_FIXED.xlsx]Study Export'!BN$3,"")</f>
        <v/>
      </c>
      <c r="BO16" s="47">
        <f>IFERROR('[P011_LingoCGM_CGM_Report_FIXED.xlsx]Study Export'!BO$3,"")</f>
        <v/>
      </c>
      <c r="BP16" s="47">
        <f>IFERROR('[P011_LingoCGM_CGM_Report_FIXED.xlsx]Study Export'!BP$3,"")</f>
        <v/>
      </c>
      <c r="BQ16" s="47">
        <f>IFERROR('[P011_LingoCGM_CGM_Report_FIXED.xlsx]Study Export'!BQ$3,"")</f>
        <v/>
      </c>
      <c r="BR16" s="47">
        <f>IFERROR('[P011_LingoCGM_CGM_Report_FIXED.xlsx]Study Export'!BR$3,"")</f>
        <v/>
      </c>
      <c r="BS16" s="47">
        <f>IFERROR('[P011_LingoCGM_CGM_Report_FIXED.xlsx]Study Export'!BS$3,"")</f>
        <v/>
      </c>
      <c r="BT16" s="47">
        <f>IFERROR('[P011_LingoCGM_CGM_Report_FIXED.xlsx]Study Export'!BT$3,"")</f>
        <v/>
      </c>
      <c r="BU16" s="47">
        <f>IFERROR('[P011_LingoCGM_CGM_Report_FIXED.xlsx]Study Export'!BU$3,"")</f>
        <v/>
      </c>
      <c r="BV16" s="47">
        <f>IFERROR('[P011_LingoCGM_CGM_Report_FIXED.xlsx]Study Export'!BV$3,"")</f>
        <v/>
      </c>
      <c r="BW16" s="47">
        <f>IFERROR('[P011_LingoCGM_CGM_Report_FIXED.xlsx]Study Export'!BW$3,"")</f>
        <v/>
      </c>
      <c r="BX16">
        <f>IFERROR('[P011_LingoCGM_CGM_Report_FIXED.xlsx]Study Export'!BX$3,"")</f>
        <v/>
      </c>
      <c r="BY16" s="57">
        <f>IFERROR('[P011_LingoCGM_CGM_Report_FIXED.xlsx]Study Export'!BY$3,"")</f>
        <v/>
      </c>
      <c r="BZ16" s="57">
        <f>IFERROR('[P011_LingoCGM_CGM_Report_FIXED.xlsx]Study Export'!BZ$3,"")</f>
        <v/>
      </c>
      <c r="CA16" s="57">
        <f>IFERROR('[P011_LingoCGM_CGM_Report_FIXED.xlsx]Study Export'!CA$3,"")</f>
        <v/>
      </c>
      <c r="CB16" s="58">
        <f>IFERROR('[P011_LingoCGM_CGM_Report_FIXED.xlsx]Study Export'!CB$3,"")</f>
        <v/>
      </c>
      <c r="CC16" s="59">
        <f>IFERROR('[P011_LingoCGM_CGM_Report_FIXED.xlsx]Study Export'!CC$3,"")</f>
        <v/>
      </c>
      <c r="CD16">
        <f>IFERROR('[P011_LingoCGM_CGM_Report_FIXED.xlsx]Study Export'!CD$3,"")</f>
        <v/>
      </c>
      <c r="CE16">
        <f>IFERROR('[P011_LingoCGM_CGM_Report_FIXED.xlsx]Study Export'!CE$3,"")</f>
        <v/>
      </c>
      <c r="CF16" s="60">
        <f>IFERROR('[P011_LingoCGM_CGM_Report_FIXED.xlsx]Study Export'!CF$3,"")</f>
        <v/>
      </c>
      <c r="CG16" s="60">
        <f>IFERROR('[P011_LingoCGM_CGM_Report_FIXED.xlsx]Study Export'!CG$3,"")</f>
        <v/>
      </c>
      <c r="CH16">
        <f>IFERROR('[P011_LingoCGM_CGM_Report_FIXED.xlsx]Study Export'!CH$3,"")</f>
        <v/>
      </c>
    </row>
    <row r="17">
      <c r="A17" s="24">
        <f>IFERROR('[P012_LingoCGM_CGM_Report_FIXED.xlsx]Study Export'!A$3,"")</f>
        <v/>
      </c>
      <c r="B17" s="24">
        <f>IFERROR('[P012_LingoCGM_CGM_Report_FIXED.xlsx]Study Export'!B$3,"")</f>
        <v/>
      </c>
      <c r="C17" s="24">
        <f>IFERROR('[P012_LingoCGM_CGM_Report_FIXED.xlsx]Study Export'!C$3,"")</f>
        <v/>
      </c>
      <c r="D17" s="24">
        <f>IFERROR('[P012_LingoCGM_CGM_Report_FIXED.xlsx]Study Export'!D$3,"")</f>
        <v/>
      </c>
      <c r="E17" s="55">
        <f>IFERROR('[P012_LingoCGM_CGM_Report_FIXED.xlsx]Study Export'!E$3,"")</f>
        <v/>
      </c>
      <c r="F17" s="26">
        <f>IFERROR('[P012_LingoCGM_CGM_Report_FIXED.xlsx]Study Export'!F$3,"")</f>
        <v/>
      </c>
      <c r="G17" s="26">
        <f>IFERROR('[P012_LingoCGM_CGM_Report_FIXED.xlsx]Study Export'!G$3,"")</f>
        <v/>
      </c>
      <c r="H17" s="47">
        <f>IFERROR('[P012_LingoCGM_CGM_Report_FIXED.xlsx]Study Export'!H$3,"")</f>
        <v/>
      </c>
      <c r="I17" s="26">
        <f>IFERROR('[P012_LingoCGM_CGM_Report_FIXED.xlsx]Study Export'!I$3,"")</f>
        <v/>
      </c>
      <c r="J17" s="26">
        <f>IFERROR('[P012_LingoCGM_CGM_Report_FIXED.xlsx]Study Export'!J$3,"")</f>
        <v/>
      </c>
      <c r="K17" s="47">
        <f>IFERROR('[P012_LingoCGM_CGM_Report_FIXED.xlsx]Study Export'!K$3,"")</f>
        <v/>
      </c>
      <c r="L17" s="47">
        <f>IFERROR('[P012_LingoCGM_CGM_Report_FIXED.xlsx]Study Export'!L$3,"")</f>
        <v/>
      </c>
      <c r="M17" s="47">
        <f>IFERROR('[P012_LingoCGM_CGM_Report_FIXED.xlsx]Study Export'!M$3,"")</f>
        <v/>
      </c>
      <c r="N17" s="47">
        <f>IFERROR('[P012_LingoCGM_CGM_Report_FIXED.xlsx]Study Export'!N$3,"")</f>
        <v/>
      </c>
      <c r="O17" s="47">
        <f>IFERROR('[P012_LingoCGM_CGM_Report_FIXED.xlsx]Study Export'!O$3,"")</f>
        <v/>
      </c>
      <c r="P17" s="27">
        <f>IFERROR('[P012_LingoCGM_CGM_Report_FIXED.xlsx]Study Export'!P$3,"")</f>
        <v/>
      </c>
      <c r="Q17" s="27">
        <f>IFERROR('[P012_LingoCGM_CGM_Report_FIXED.xlsx]Study Export'!Q$3,"")</f>
        <v/>
      </c>
      <c r="R17" s="27">
        <f>IFERROR('[P012_LingoCGM_CGM_Report_FIXED.xlsx]Study Export'!R$3,"")</f>
        <v/>
      </c>
      <c r="S17" s="56">
        <f>IFERROR('[P012_LingoCGM_CGM_Report_FIXED.xlsx]Study Export'!S$3,"")</f>
        <v/>
      </c>
      <c r="T17" s="56">
        <f>IFERROR('[P012_LingoCGM_CGM_Report_FIXED.xlsx]Study Export'!T$3,"")</f>
        <v/>
      </c>
      <c r="U17" s="56">
        <f>IFERROR('[P012_LingoCGM_CGM_Report_FIXED.xlsx]Study Export'!U$3,"")</f>
        <v/>
      </c>
      <c r="V17" s="56">
        <f>IFERROR('[P012_LingoCGM_CGM_Report_FIXED.xlsx]Study Export'!V$3,"")</f>
        <v/>
      </c>
      <c r="W17" s="56">
        <f>IFERROR('[P012_LingoCGM_CGM_Report_FIXED.xlsx]Study Export'!W$3,"")</f>
        <v/>
      </c>
      <c r="X17" s="56">
        <f>IFERROR('[P012_LingoCGM_CGM_Report_FIXED.xlsx]Study Export'!X$3,"")</f>
        <v/>
      </c>
      <c r="Y17" s="56">
        <f>IFERROR('[P012_LingoCGM_CGM_Report_FIXED.xlsx]Study Export'!Y$3,"")</f>
        <v/>
      </c>
      <c r="Z17" s="56">
        <f>IFERROR('[P012_LingoCGM_CGM_Report_FIXED.xlsx]Study Export'!Z$3,"")</f>
        <v/>
      </c>
      <c r="AA17" s="56">
        <f>IFERROR('[P012_LingoCGM_CGM_Report_FIXED.xlsx]Study Export'!AA$3,"")</f>
        <v/>
      </c>
      <c r="AB17" s="56">
        <f>IFERROR('[P012_LingoCGM_CGM_Report_FIXED.xlsx]Study Export'!AB$3,"")</f>
        <v/>
      </c>
      <c r="AC17" s="56">
        <f>IFERROR('[P012_LingoCGM_CGM_Report_FIXED.xlsx]Study Export'!AC$3,"")</f>
        <v/>
      </c>
      <c r="AD17" s="56">
        <f>IFERROR('[P012_LingoCGM_CGM_Report_FIXED.xlsx]Study Export'!AD$3,"")</f>
        <v/>
      </c>
      <c r="AE17" s="56">
        <f>IFERROR('[P012_LingoCGM_CGM_Report_FIXED.xlsx]Study Export'!AE$3,"")</f>
        <v/>
      </c>
      <c r="AF17" s="56">
        <f>IFERROR('[P012_LingoCGM_CGM_Report_FIXED.xlsx]Study Export'!AF$3,"")</f>
        <v/>
      </c>
      <c r="AG17" s="56">
        <f>IFERROR('[P012_LingoCGM_CGM_Report_FIXED.xlsx]Study Export'!AG$3,"")</f>
        <v/>
      </c>
      <c r="AH17" s="27">
        <f>IFERROR('[P012_LingoCGM_CGM_Report_FIXED.xlsx]Study Export'!AH$3,"")</f>
        <v/>
      </c>
      <c r="AI17" s="27">
        <f>IFERROR('[P012_LingoCGM_CGM_Report_FIXED.xlsx]Study Export'!AI$3,"")</f>
        <v/>
      </c>
      <c r="AJ17" s="27">
        <f>IFERROR('[P012_LingoCGM_CGM_Report_FIXED.xlsx]Study Export'!AJ$3,"")</f>
        <v/>
      </c>
      <c r="AK17" s="27">
        <f>IFERROR('[P012_LingoCGM_CGM_Report_FIXED.xlsx]Study Export'!AK$3,"")</f>
        <v/>
      </c>
      <c r="AL17" s="27">
        <f>IFERROR('[P012_LingoCGM_CGM_Report_FIXED.xlsx]Study Export'!AL$3,"")</f>
        <v/>
      </c>
      <c r="AM17" s="27">
        <f>IFERROR('[P012_LingoCGM_CGM_Report_FIXED.xlsx]Study Export'!AM$3,"")</f>
        <v/>
      </c>
      <c r="AN17" s="27">
        <f>IFERROR('[P012_LingoCGM_CGM_Report_FIXED.xlsx]Study Export'!AN$3,"")</f>
        <v/>
      </c>
      <c r="AO17" s="27">
        <f>IFERROR('[P012_LingoCGM_CGM_Report_FIXED.xlsx]Study Export'!AO$3,"")</f>
        <v/>
      </c>
      <c r="AP17" s="27">
        <f>IFERROR('[P012_LingoCGM_CGM_Report_FIXED.xlsx]Study Export'!AP$3,"")</f>
        <v/>
      </c>
      <c r="AQ17" s="27">
        <f>IFERROR('[P012_LingoCGM_CGM_Report_FIXED.xlsx]Study Export'!AQ$3,"")</f>
        <v/>
      </c>
      <c r="AR17" s="27">
        <f>IFERROR('[P012_LingoCGM_CGM_Report_FIXED.xlsx]Study Export'!AR$3,"")</f>
        <v/>
      </c>
      <c r="AS17" s="27">
        <f>IFERROR('[P012_LingoCGM_CGM_Report_FIXED.xlsx]Study Export'!AS$3,"")</f>
        <v/>
      </c>
      <c r="AT17" s="47">
        <f>IFERROR('[P012_LingoCGM_CGM_Report_FIXED.xlsx]Study Export'!AT$3,"")</f>
        <v/>
      </c>
      <c r="AU17" s="47">
        <f>IFERROR('[P012_LingoCGM_CGM_Report_FIXED.xlsx]Study Export'!AU$3,"")</f>
        <v/>
      </c>
      <c r="AV17" s="47">
        <f>IFERROR('[P012_LingoCGM_CGM_Report_FIXED.xlsx]Study Export'!AV$3,"")</f>
        <v/>
      </c>
      <c r="AW17" s="56">
        <f>IFERROR('[P012_LingoCGM_CGM_Report_FIXED.xlsx]Study Export'!AW$3,"")</f>
        <v/>
      </c>
      <c r="AX17" s="56">
        <f>IFERROR('[P012_LingoCGM_CGM_Report_FIXED.xlsx]Study Export'!AX$3,"")</f>
        <v/>
      </c>
      <c r="AY17" s="56">
        <f>IFERROR('[P012_LingoCGM_CGM_Report_FIXED.xlsx]Study Export'!AY$3,"")</f>
        <v/>
      </c>
      <c r="AZ17" s="47">
        <f>IFERROR('[P012_LingoCGM_CGM_Report_FIXED.xlsx]Study Export'!AZ$3,"")</f>
        <v/>
      </c>
      <c r="BA17" s="47">
        <f>IFERROR('[P012_LingoCGM_CGM_Report_FIXED.xlsx]Study Export'!BA$3,"")</f>
        <v/>
      </c>
      <c r="BB17" s="47">
        <f>IFERROR('[P012_LingoCGM_CGM_Report_FIXED.xlsx]Study Export'!BB$3,"")</f>
        <v/>
      </c>
      <c r="BC17" s="27">
        <f>IFERROR('[P012_LingoCGM_CGM_Report_FIXED.xlsx]Study Export'!BC$3,"")</f>
        <v/>
      </c>
      <c r="BD17" s="27">
        <f>IFERROR('[P012_LingoCGM_CGM_Report_FIXED.xlsx]Study Export'!BD$3,"")</f>
        <v/>
      </c>
      <c r="BE17" s="27">
        <f>IFERROR('[P012_LingoCGM_CGM_Report_FIXED.xlsx]Study Export'!BE$3,"")</f>
        <v/>
      </c>
      <c r="BF17" s="47">
        <f>IFERROR('[P012_LingoCGM_CGM_Report_FIXED.xlsx]Study Export'!BF$3,"")</f>
        <v/>
      </c>
      <c r="BG17" s="47">
        <f>IFERROR('[P012_LingoCGM_CGM_Report_FIXED.xlsx]Study Export'!BG$3,"")</f>
        <v/>
      </c>
      <c r="BH17" s="47">
        <f>IFERROR('[P012_LingoCGM_CGM_Report_FIXED.xlsx]Study Export'!BH$3,"")</f>
        <v/>
      </c>
      <c r="BI17" s="47">
        <f>IFERROR('[P012_LingoCGM_CGM_Report_FIXED.xlsx]Study Export'!BI$3,"")</f>
        <v/>
      </c>
      <c r="BJ17" s="47">
        <f>IFERROR('[P012_LingoCGM_CGM_Report_FIXED.xlsx]Study Export'!BJ$3,"")</f>
        <v/>
      </c>
      <c r="BK17" s="47">
        <f>IFERROR('[P012_LingoCGM_CGM_Report_FIXED.xlsx]Study Export'!BK$3,"")</f>
        <v/>
      </c>
      <c r="BL17" s="47">
        <f>IFERROR('[P012_LingoCGM_CGM_Report_FIXED.xlsx]Study Export'!BL$3,"")</f>
        <v/>
      </c>
      <c r="BM17" s="47">
        <f>IFERROR('[P012_LingoCGM_CGM_Report_FIXED.xlsx]Study Export'!BM$3,"")</f>
        <v/>
      </c>
      <c r="BN17" s="47">
        <f>IFERROR('[P012_LingoCGM_CGM_Report_FIXED.xlsx]Study Export'!BN$3,"")</f>
        <v/>
      </c>
      <c r="BO17" s="47">
        <f>IFERROR('[P012_LingoCGM_CGM_Report_FIXED.xlsx]Study Export'!BO$3,"")</f>
        <v/>
      </c>
      <c r="BP17" s="47">
        <f>IFERROR('[P012_LingoCGM_CGM_Report_FIXED.xlsx]Study Export'!BP$3,"")</f>
        <v/>
      </c>
      <c r="BQ17" s="47">
        <f>IFERROR('[P012_LingoCGM_CGM_Report_FIXED.xlsx]Study Export'!BQ$3,"")</f>
        <v/>
      </c>
      <c r="BR17" s="47">
        <f>IFERROR('[P012_LingoCGM_CGM_Report_FIXED.xlsx]Study Export'!BR$3,"")</f>
        <v/>
      </c>
      <c r="BS17" s="47">
        <f>IFERROR('[P012_LingoCGM_CGM_Report_FIXED.xlsx]Study Export'!BS$3,"")</f>
        <v/>
      </c>
      <c r="BT17" s="47">
        <f>IFERROR('[P012_LingoCGM_CGM_Report_FIXED.xlsx]Study Export'!BT$3,"")</f>
        <v/>
      </c>
      <c r="BU17" s="47">
        <f>IFERROR('[P012_LingoCGM_CGM_Report_FIXED.xlsx]Study Export'!BU$3,"")</f>
        <v/>
      </c>
      <c r="BV17" s="47">
        <f>IFERROR('[P012_LingoCGM_CGM_Report_FIXED.xlsx]Study Export'!BV$3,"")</f>
        <v/>
      </c>
      <c r="BW17" s="47">
        <f>IFERROR('[P012_LingoCGM_CGM_Report_FIXED.xlsx]Study Export'!BW$3,"")</f>
        <v/>
      </c>
      <c r="BX17">
        <f>IFERROR('[P012_LingoCGM_CGM_Report_FIXED.xlsx]Study Export'!BX$3,"")</f>
        <v/>
      </c>
      <c r="BY17" s="57">
        <f>IFERROR('[P012_LingoCGM_CGM_Report_FIXED.xlsx]Study Export'!BY$3,"")</f>
        <v/>
      </c>
      <c r="BZ17" s="57">
        <f>IFERROR('[P012_LingoCGM_CGM_Report_FIXED.xlsx]Study Export'!BZ$3,"")</f>
        <v/>
      </c>
      <c r="CA17" s="57">
        <f>IFERROR('[P012_LingoCGM_CGM_Report_FIXED.xlsx]Study Export'!CA$3,"")</f>
        <v/>
      </c>
      <c r="CB17" s="58">
        <f>IFERROR('[P012_LingoCGM_CGM_Report_FIXED.xlsx]Study Export'!CB$3,"")</f>
        <v/>
      </c>
      <c r="CC17" s="59">
        <f>IFERROR('[P012_LingoCGM_CGM_Report_FIXED.xlsx]Study Export'!CC$3,"")</f>
        <v/>
      </c>
      <c r="CD17">
        <f>IFERROR('[P012_LingoCGM_CGM_Report_FIXED.xlsx]Study Export'!CD$3,"")</f>
        <v/>
      </c>
      <c r="CE17">
        <f>IFERROR('[P012_LingoCGM_CGM_Report_FIXED.xlsx]Study Export'!CE$3,"")</f>
        <v/>
      </c>
      <c r="CF17" s="60">
        <f>IFERROR('[P012_LingoCGM_CGM_Report_FIXED.xlsx]Study Export'!CF$3,"")</f>
        <v/>
      </c>
      <c r="CG17" s="60">
        <f>IFERROR('[P012_LingoCGM_CGM_Report_FIXED.xlsx]Study Export'!CG$3,"")</f>
        <v/>
      </c>
      <c r="CH17">
        <f>IFERROR('[P012_LingoCGM_CGM_Report_FIXED.xlsx]Study Export'!CH$3,"")</f>
        <v/>
      </c>
    </row>
    <row r="18">
      <c r="A18" s="24">
        <f>IFERROR('[P013_LingoCGM_CGM_Report_FIXED.xlsx]Study Export'!A$3,"")</f>
        <v/>
      </c>
      <c r="B18" s="24">
        <f>IFERROR('[P013_LingoCGM_CGM_Report_FIXED.xlsx]Study Export'!B$3,"")</f>
        <v/>
      </c>
      <c r="C18" s="24">
        <f>IFERROR('[P013_LingoCGM_CGM_Report_FIXED.xlsx]Study Export'!C$3,"")</f>
        <v/>
      </c>
      <c r="D18" s="24">
        <f>IFERROR('[P013_LingoCGM_CGM_Report_FIXED.xlsx]Study Export'!D$3,"")</f>
        <v/>
      </c>
      <c r="E18" s="55">
        <f>IFERROR('[P013_LingoCGM_CGM_Report_FIXED.xlsx]Study Export'!E$3,"")</f>
        <v/>
      </c>
      <c r="F18" s="26">
        <f>IFERROR('[P013_LingoCGM_CGM_Report_FIXED.xlsx]Study Export'!F$3,"")</f>
        <v/>
      </c>
      <c r="G18" s="26">
        <f>IFERROR('[P013_LingoCGM_CGM_Report_FIXED.xlsx]Study Export'!G$3,"")</f>
        <v/>
      </c>
      <c r="H18" s="47">
        <f>IFERROR('[P013_LingoCGM_CGM_Report_FIXED.xlsx]Study Export'!H$3,"")</f>
        <v/>
      </c>
      <c r="I18" s="26">
        <f>IFERROR('[P013_LingoCGM_CGM_Report_FIXED.xlsx]Study Export'!I$3,"")</f>
        <v/>
      </c>
      <c r="J18" s="26">
        <f>IFERROR('[P013_LingoCGM_CGM_Report_FIXED.xlsx]Study Export'!J$3,"")</f>
        <v/>
      </c>
      <c r="K18" s="47">
        <f>IFERROR('[P013_LingoCGM_CGM_Report_FIXED.xlsx]Study Export'!K$3,"")</f>
        <v/>
      </c>
      <c r="L18" s="47">
        <f>IFERROR('[P013_LingoCGM_CGM_Report_FIXED.xlsx]Study Export'!L$3,"")</f>
        <v/>
      </c>
      <c r="M18" s="47">
        <f>IFERROR('[P013_LingoCGM_CGM_Report_FIXED.xlsx]Study Export'!M$3,"")</f>
        <v/>
      </c>
      <c r="N18" s="47">
        <f>IFERROR('[P013_LingoCGM_CGM_Report_FIXED.xlsx]Study Export'!N$3,"")</f>
        <v/>
      </c>
      <c r="O18" s="47">
        <f>IFERROR('[P013_LingoCGM_CGM_Report_FIXED.xlsx]Study Export'!O$3,"")</f>
        <v/>
      </c>
      <c r="P18" s="27">
        <f>IFERROR('[P013_LingoCGM_CGM_Report_FIXED.xlsx]Study Export'!P$3,"")</f>
        <v/>
      </c>
      <c r="Q18" s="27">
        <f>IFERROR('[P013_LingoCGM_CGM_Report_FIXED.xlsx]Study Export'!Q$3,"")</f>
        <v/>
      </c>
      <c r="R18" s="27">
        <f>IFERROR('[P013_LingoCGM_CGM_Report_FIXED.xlsx]Study Export'!R$3,"")</f>
        <v/>
      </c>
      <c r="S18" s="56">
        <f>IFERROR('[P013_LingoCGM_CGM_Report_FIXED.xlsx]Study Export'!S$3,"")</f>
        <v/>
      </c>
      <c r="T18" s="56">
        <f>IFERROR('[P013_LingoCGM_CGM_Report_FIXED.xlsx]Study Export'!T$3,"")</f>
        <v/>
      </c>
      <c r="U18" s="56">
        <f>IFERROR('[P013_LingoCGM_CGM_Report_FIXED.xlsx]Study Export'!U$3,"")</f>
        <v/>
      </c>
      <c r="V18" s="56">
        <f>IFERROR('[P013_LingoCGM_CGM_Report_FIXED.xlsx]Study Export'!V$3,"")</f>
        <v/>
      </c>
      <c r="W18" s="56">
        <f>IFERROR('[P013_LingoCGM_CGM_Report_FIXED.xlsx]Study Export'!W$3,"")</f>
        <v/>
      </c>
      <c r="X18" s="56">
        <f>IFERROR('[P013_LingoCGM_CGM_Report_FIXED.xlsx]Study Export'!X$3,"")</f>
        <v/>
      </c>
      <c r="Y18" s="56">
        <f>IFERROR('[P013_LingoCGM_CGM_Report_FIXED.xlsx]Study Export'!Y$3,"")</f>
        <v/>
      </c>
      <c r="Z18" s="56">
        <f>IFERROR('[P013_LingoCGM_CGM_Report_FIXED.xlsx]Study Export'!Z$3,"")</f>
        <v/>
      </c>
      <c r="AA18" s="56">
        <f>IFERROR('[P013_LingoCGM_CGM_Report_FIXED.xlsx]Study Export'!AA$3,"")</f>
        <v/>
      </c>
      <c r="AB18" s="56">
        <f>IFERROR('[P013_LingoCGM_CGM_Report_FIXED.xlsx]Study Export'!AB$3,"")</f>
        <v/>
      </c>
      <c r="AC18" s="56">
        <f>IFERROR('[P013_LingoCGM_CGM_Report_FIXED.xlsx]Study Export'!AC$3,"")</f>
        <v/>
      </c>
      <c r="AD18" s="56">
        <f>IFERROR('[P013_LingoCGM_CGM_Report_FIXED.xlsx]Study Export'!AD$3,"")</f>
        <v/>
      </c>
      <c r="AE18" s="56">
        <f>IFERROR('[P013_LingoCGM_CGM_Report_FIXED.xlsx]Study Export'!AE$3,"")</f>
        <v/>
      </c>
      <c r="AF18" s="56">
        <f>IFERROR('[P013_LingoCGM_CGM_Report_FIXED.xlsx]Study Export'!AF$3,"")</f>
        <v/>
      </c>
      <c r="AG18" s="56">
        <f>IFERROR('[P013_LingoCGM_CGM_Report_FIXED.xlsx]Study Export'!AG$3,"")</f>
        <v/>
      </c>
      <c r="AH18" s="27">
        <f>IFERROR('[P013_LingoCGM_CGM_Report_FIXED.xlsx]Study Export'!AH$3,"")</f>
        <v/>
      </c>
      <c r="AI18" s="27">
        <f>IFERROR('[P013_LingoCGM_CGM_Report_FIXED.xlsx]Study Export'!AI$3,"")</f>
        <v/>
      </c>
      <c r="AJ18" s="27">
        <f>IFERROR('[P013_LingoCGM_CGM_Report_FIXED.xlsx]Study Export'!AJ$3,"")</f>
        <v/>
      </c>
      <c r="AK18" s="27">
        <f>IFERROR('[P013_LingoCGM_CGM_Report_FIXED.xlsx]Study Export'!AK$3,"")</f>
        <v/>
      </c>
      <c r="AL18" s="27">
        <f>IFERROR('[P013_LingoCGM_CGM_Report_FIXED.xlsx]Study Export'!AL$3,"")</f>
        <v/>
      </c>
      <c r="AM18" s="27">
        <f>IFERROR('[P013_LingoCGM_CGM_Report_FIXED.xlsx]Study Export'!AM$3,"")</f>
        <v/>
      </c>
      <c r="AN18" s="27">
        <f>IFERROR('[P013_LingoCGM_CGM_Report_FIXED.xlsx]Study Export'!AN$3,"")</f>
        <v/>
      </c>
      <c r="AO18" s="27">
        <f>IFERROR('[P013_LingoCGM_CGM_Report_FIXED.xlsx]Study Export'!AO$3,"")</f>
        <v/>
      </c>
      <c r="AP18" s="27">
        <f>IFERROR('[P013_LingoCGM_CGM_Report_FIXED.xlsx]Study Export'!AP$3,"")</f>
        <v/>
      </c>
      <c r="AQ18" s="27">
        <f>IFERROR('[P013_LingoCGM_CGM_Report_FIXED.xlsx]Study Export'!AQ$3,"")</f>
        <v/>
      </c>
      <c r="AR18" s="27">
        <f>IFERROR('[P013_LingoCGM_CGM_Report_FIXED.xlsx]Study Export'!AR$3,"")</f>
        <v/>
      </c>
      <c r="AS18" s="27">
        <f>IFERROR('[P013_LingoCGM_CGM_Report_FIXED.xlsx]Study Export'!AS$3,"")</f>
        <v/>
      </c>
      <c r="AT18" s="47">
        <f>IFERROR('[P013_LingoCGM_CGM_Report_FIXED.xlsx]Study Export'!AT$3,"")</f>
        <v/>
      </c>
      <c r="AU18" s="47">
        <f>IFERROR('[P013_LingoCGM_CGM_Report_FIXED.xlsx]Study Export'!AU$3,"")</f>
        <v/>
      </c>
      <c r="AV18" s="47">
        <f>IFERROR('[P013_LingoCGM_CGM_Report_FIXED.xlsx]Study Export'!AV$3,"")</f>
        <v/>
      </c>
      <c r="AW18" s="56">
        <f>IFERROR('[P013_LingoCGM_CGM_Report_FIXED.xlsx]Study Export'!AW$3,"")</f>
        <v/>
      </c>
      <c r="AX18" s="56">
        <f>IFERROR('[P013_LingoCGM_CGM_Report_FIXED.xlsx]Study Export'!AX$3,"")</f>
        <v/>
      </c>
      <c r="AY18" s="56">
        <f>IFERROR('[P013_LingoCGM_CGM_Report_FIXED.xlsx]Study Export'!AY$3,"")</f>
        <v/>
      </c>
      <c r="AZ18" s="47">
        <f>IFERROR('[P013_LingoCGM_CGM_Report_FIXED.xlsx]Study Export'!AZ$3,"")</f>
        <v/>
      </c>
      <c r="BA18" s="47">
        <f>IFERROR('[P013_LingoCGM_CGM_Report_FIXED.xlsx]Study Export'!BA$3,"")</f>
        <v/>
      </c>
      <c r="BB18" s="47">
        <f>IFERROR('[P013_LingoCGM_CGM_Report_FIXED.xlsx]Study Export'!BB$3,"")</f>
        <v/>
      </c>
      <c r="BC18" s="27">
        <f>IFERROR('[P013_LingoCGM_CGM_Report_FIXED.xlsx]Study Export'!BC$3,"")</f>
        <v/>
      </c>
      <c r="BD18" s="27">
        <f>IFERROR('[P013_LingoCGM_CGM_Report_FIXED.xlsx]Study Export'!BD$3,"")</f>
        <v/>
      </c>
      <c r="BE18" s="27">
        <f>IFERROR('[P013_LingoCGM_CGM_Report_FIXED.xlsx]Study Export'!BE$3,"")</f>
        <v/>
      </c>
      <c r="BF18" s="47">
        <f>IFERROR('[P013_LingoCGM_CGM_Report_FIXED.xlsx]Study Export'!BF$3,"")</f>
        <v/>
      </c>
      <c r="BG18" s="47">
        <f>IFERROR('[P013_LingoCGM_CGM_Report_FIXED.xlsx]Study Export'!BG$3,"")</f>
        <v/>
      </c>
      <c r="BH18" s="47">
        <f>IFERROR('[P013_LingoCGM_CGM_Report_FIXED.xlsx]Study Export'!BH$3,"")</f>
        <v/>
      </c>
      <c r="BI18" s="47">
        <f>IFERROR('[P013_LingoCGM_CGM_Report_FIXED.xlsx]Study Export'!BI$3,"")</f>
        <v/>
      </c>
      <c r="BJ18" s="47">
        <f>IFERROR('[P013_LingoCGM_CGM_Report_FIXED.xlsx]Study Export'!BJ$3,"")</f>
        <v/>
      </c>
      <c r="BK18" s="47">
        <f>IFERROR('[P013_LingoCGM_CGM_Report_FIXED.xlsx]Study Export'!BK$3,"")</f>
        <v/>
      </c>
      <c r="BL18" s="47">
        <f>IFERROR('[P013_LingoCGM_CGM_Report_FIXED.xlsx]Study Export'!BL$3,"")</f>
        <v/>
      </c>
      <c r="BM18" s="47">
        <f>IFERROR('[P013_LingoCGM_CGM_Report_FIXED.xlsx]Study Export'!BM$3,"")</f>
        <v/>
      </c>
      <c r="BN18" s="47">
        <f>IFERROR('[P013_LingoCGM_CGM_Report_FIXED.xlsx]Study Export'!BN$3,"")</f>
        <v/>
      </c>
      <c r="BO18" s="47">
        <f>IFERROR('[P013_LingoCGM_CGM_Report_FIXED.xlsx]Study Export'!BO$3,"")</f>
        <v/>
      </c>
      <c r="BP18" s="47">
        <f>IFERROR('[P013_LingoCGM_CGM_Report_FIXED.xlsx]Study Export'!BP$3,"")</f>
        <v/>
      </c>
      <c r="BQ18" s="47">
        <f>IFERROR('[P013_LingoCGM_CGM_Report_FIXED.xlsx]Study Export'!BQ$3,"")</f>
        <v/>
      </c>
      <c r="BR18" s="47">
        <f>IFERROR('[P013_LingoCGM_CGM_Report_FIXED.xlsx]Study Export'!BR$3,"")</f>
        <v/>
      </c>
      <c r="BS18" s="47">
        <f>IFERROR('[P013_LingoCGM_CGM_Report_FIXED.xlsx]Study Export'!BS$3,"")</f>
        <v/>
      </c>
      <c r="BT18" s="47">
        <f>IFERROR('[P013_LingoCGM_CGM_Report_FIXED.xlsx]Study Export'!BT$3,"")</f>
        <v/>
      </c>
      <c r="BU18" s="47">
        <f>IFERROR('[P013_LingoCGM_CGM_Report_FIXED.xlsx]Study Export'!BU$3,"")</f>
        <v/>
      </c>
      <c r="BV18" s="47">
        <f>IFERROR('[P013_LingoCGM_CGM_Report_FIXED.xlsx]Study Export'!BV$3,"")</f>
        <v/>
      </c>
      <c r="BW18" s="47">
        <f>IFERROR('[P013_LingoCGM_CGM_Report_FIXED.xlsx]Study Export'!BW$3,"")</f>
        <v/>
      </c>
      <c r="BX18">
        <f>IFERROR('[P013_LingoCGM_CGM_Report_FIXED.xlsx]Study Export'!BX$3,"")</f>
        <v/>
      </c>
      <c r="BY18" s="57">
        <f>IFERROR('[P013_LingoCGM_CGM_Report_FIXED.xlsx]Study Export'!BY$3,"")</f>
        <v/>
      </c>
      <c r="BZ18" s="57">
        <f>IFERROR('[P013_LingoCGM_CGM_Report_FIXED.xlsx]Study Export'!BZ$3,"")</f>
        <v/>
      </c>
      <c r="CA18" s="57">
        <f>IFERROR('[P013_LingoCGM_CGM_Report_FIXED.xlsx]Study Export'!CA$3,"")</f>
        <v/>
      </c>
      <c r="CB18" s="58">
        <f>IFERROR('[P013_LingoCGM_CGM_Report_FIXED.xlsx]Study Export'!CB$3,"")</f>
        <v/>
      </c>
      <c r="CC18" s="59">
        <f>IFERROR('[P013_LingoCGM_CGM_Report_FIXED.xlsx]Study Export'!CC$3,"")</f>
        <v/>
      </c>
      <c r="CD18">
        <f>IFERROR('[P013_LingoCGM_CGM_Report_FIXED.xlsx]Study Export'!CD$3,"")</f>
        <v/>
      </c>
      <c r="CE18">
        <f>IFERROR('[P013_LingoCGM_CGM_Report_FIXED.xlsx]Study Export'!CE$3,"")</f>
        <v/>
      </c>
      <c r="CF18" s="60">
        <f>IFERROR('[P013_LingoCGM_CGM_Report_FIXED.xlsx]Study Export'!CF$3,"")</f>
        <v/>
      </c>
      <c r="CG18" s="60">
        <f>IFERROR('[P013_LingoCGM_CGM_Report_FIXED.xlsx]Study Export'!CG$3,"")</f>
        <v/>
      </c>
      <c r="CH18">
        <f>IFERROR('[P013_LingoCGM_CGM_Report_FIXED.xlsx]Study Export'!CH$3,"")</f>
        <v/>
      </c>
    </row>
    <row r="19">
      <c r="A19" s="24">
        <f>IFERROR('[P014_LingoCGM_CGM_Report_FIXED.xlsx]Study Export'!A$3,"")</f>
        <v/>
      </c>
      <c r="B19" s="24">
        <f>IFERROR('[P014_LingoCGM_CGM_Report_FIXED.xlsx]Study Export'!B$3,"")</f>
        <v/>
      </c>
      <c r="C19" s="24">
        <f>IFERROR('[P014_LingoCGM_CGM_Report_FIXED.xlsx]Study Export'!C$3,"")</f>
        <v/>
      </c>
      <c r="D19" s="24">
        <f>IFERROR('[P014_LingoCGM_CGM_Report_FIXED.xlsx]Study Export'!D$3,"")</f>
        <v/>
      </c>
      <c r="E19" s="55">
        <f>IFERROR('[P014_LingoCGM_CGM_Report_FIXED.xlsx]Study Export'!E$3,"")</f>
        <v/>
      </c>
      <c r="F19" s="26">
        <f>IFERROR('[P014_LingoCGM_CGM_Report_FIXED.xlsx]Study Export'!F$3,"")</f>
        <v/>
      </c>
      <c r="G19" s="26">
        <f>IFERROR('[P014_LingoCGM_CGM_Report_FIXED.xlsx]Study Export'!G$3,"")</f>
        <v/>
      </c>
      <c r="H19" s="47">
        <f>IFERROR('[P014_LingoCGM_CGM_Report_FIXED.xlsx]Study Export'!H$3,"")</f>
        <v/>
      </c>
      <c r="I19" s="26">
        <f>IFERROR('[P014_LingoCGM_CGM_Report_FIXED.xlsx]Study Export'!I$3,"")</f>
        <v/>
      </c>
      <c r="J19" s="26">
        <f>IFERROR('[P014_LingoCGM_CGM_Report_FIXED.xlsx]Study Export'!J$3,"")</f>
        <v/>
      </c>
      <c r="K19" s="47">
        <f>IFERROR('[P014_LingoCGM_CGM_Report_FIXED.xlsx]Study Export'!K$3,"")</f>
        <v/>
      </c>
      <c r="L19" s="47">
        <f>IFERROR('[P014_LingoCGM_CGM_Report_FIXED.xlsx]Study Export'!L$3,"")</f>
        <v/>
      </c>
      <c r="M19" s="47">
        <f>IFERROR('[P014_LingoCGM_CGM_Report_FIXED.xlsx]Study Export'!M$3,"")</f>
        <v/>
      </c>
      <c r="N19" s="47">
        <f>IFERROR('[P014_LingoCGM_CGM_Report_FIXED.xlsx]Study Export'!N$3,"")</f>
        <v/>
      </c>
      <c r="O19" s="47">
        <f>IFERROR('[P014_LingoCGM_CGM_Report_FIXED.xlsx]Study Export'!O$3,"")</f>
        <v/>
      </c>
      <c r="P19" s="27">
        <f>IFERROR('[P014_LingoCGM_CGM_Report_FIXED.xlsx]Study Export'!P$3,"")</f>
        <v/>
      </c>
      <c r="Q19" s="27">
        <f>IFERROR('[P014_LingoCGM_CGM_Report_FIXED.xlsx]Study Export'!Q$3,"")</f>
        <v/>
      </c>
      <c r="R19" s="27">
        <f>IFERROR('[P014_LingoCGM_CGM_Report_FIXED.xlsx]Study Export'!R$3,"")</f>
        <v/>
      </c>
      <c r="S19" s="56">
        <f>IFERROR('[P014_LingoCGM_CGM_Report_FIXED.xlsx]Study Export'!S$3,"")</f>
        <v/>
      </c>
      <c r="T19" s="56">
        <f>IFERROR('[P014_LingoCGM_CGM_Report_FIXED.xlsx]Study Export'!T$3,"")</f>
        <v/>
      </c>
      <c r="U19" s="56">
        <f>IFERROR('[P014_LingoCGM_CGM_Report_FIXED.xlsx]Study Export'!U$3,"")</f>
        <v/>
      </c>
      <c r="V19" s="56">
        <f>IFERROR('[P014_LingoCGM_CGM_Report_FIXED.xlsx]Study Export'!V$3,"")</f>
        <v/>
      </c>
      <c r="W19" s="56">
        <f>IFERROR('[P014_LingoCGM_CGM_Report_FIXED.xlsx]Study Export'!W$3,"")</f>
        <v/>
      </c>
      <c r="X19" s="56">
        <f>IFERROR('[P014_LingoCGM_CGM_Report_FIXED.xlsx]Study Export'!X$3,"")</f>
        <v/>
      </c>
      <c r="Y19" s="56">
        <f>IFERROR('[P014_LingoCGM_CGM_Report_FIXED.xlsx]Study Export'!Y$3,"")</f>
        <v/>
      </c>
      <c r="Z19" s="56">
        <f>IFERROR('[P014_LingoCGM_CGM_Report_FIXED.xlsx]Study Export'!Z$3,"")</f>
        <v/>
      </c>
      <c r="AA19" s="56">
        <f>IFERROR('[P014_LingoCGM_CGM_Report_FIXED.xlsx]Study Export'!AA$3,"")</f>
        <v/>
      </c>
      <c r="AB19" s="56">
        <f>IFERROR('[P014_LingoCGM_CGM_Report_FIXED.xlsx]Study Export'!AB$3,"")</f>
        <v/>
      </c>
      <c r="AC19" s="56">
        <f>IFERROR('[P014_LingoCGM_CGM_Report_FIXED.xlsx]Study Export'!AC$3,"")</f>
        <v/>
      </c>
      <c r="AD19" s="56">
        <f>IFERROR('[P014_LingoCGM_CGM_Report_FIXED.xlsx]Study Export'!AD$3,"")</f>
        <v/>
      </c>
      <c r="AE19" s="56">
        <f>IFERROR('[P014_LingoCGM_CGM_Report_FIXED.xlsx]Study Export'!AE$3,"")</f>
        <v/>
      </c>
      <c r="AF19" s="56">
        <f>IFERROR('[P014_LingoCGM_CGM_Report_FIXED.xlsx]Study Export'!AF$3,"")</f>
        <v/>
      </c>
      <c r="AG19" s="56">
        <f>IFERROR('[P014_LingoCGM_CGM_Report_FIXED.xlsx]Study Export'!AG$3,"")</f>
        <v/>
      </c>
      <c r="AH19" s="27">
        <f>IFERROR('[P014_LingoCGM_CGM_Report_FIXED.xlsx]Study Export'!AH$3,"")</f>
        <v/>
      </c>
      <c r="AI19" s="27">
        <f>IFERROR('[P014_LingoCGM_CGM_Report_FIXED.xlsx]Study Export'!AI$3,"")</f>
        <v/>
      </c>
      <c r="AJ19" s="27">
        <f>IFERROR('[P014_LingoCGM_CGM_Report_FIXED.xlsx]Study Export'!AJ$3,"")</f>
        <v/>
      </c>
      <c r="AK19" s="27">
        <f>IFERROR('[P014_LingoCGM_CGM_Report_FIXED.xlsx]Study Export'!AK$3,"")</f>
        <v/>
      </c>
      <c r="AL19" s="27">
        <f>IFERROR('[P014_LingoCGM_CGM_Report_FIXED.xlsx]Study Export'!AL$3,"")</f>
        <v/>
      </c>
      <c r="AM19" s="27">
        <f>IFERROR('[P014_LingoCGM_CGM_Report_FIXED.xlsx]Study Export'!AM$3,"")</f>
        <v/>
      </c>
      <c r="AN19" s="27">
        <f>IFERROR('[P014_LingoCGM_CGM_Report_FIXED.xlsx]Study Export'!AN$3,"")</f>
        <v/>
      </c>
      <c r="AO19" s="27">
        <f>IFERROR('[P014_LingoCGM_CGM_Report_FIXED.xlsx]Study Export'!AO$3,"")</f>
        <v/>
      </c>
      <c r="AP19" s="27">
        <f>IFERROR('[P014_LingoCGM_CGM_Report_FIXED.xlsx]Study Export'!AP$3,"")</f>
        <v/>
      </c>
      <c r="AQ19" s="27">
        <f>IFERROR('[P014_LingoCGM_CGM_Report_FIXED.xlsx]Study Export'!AQ$3,"")</f>
        <v/>
      </c>
      <c r="AR19" s="27">
        <f>IFERROR('[P014_LingoCGM_CGM_Report_FIXED.xlsx]Study Export'!AR$3,"")</f>
        <v/>
      </c>
      <c r="AS19" s="27">
        <f>IFERROR('[P014_LingoCGM_CGM_Report_FIXED.xlsx]Study Export'!AS$3,"")</f>
        <v/>
      </c>
      <c r="AT19" s="47">
        <f>IFERROR('[P014_LingoCGM_CGM_Report_FIXED.xlsx]Study Export'!AT$3,"")</f>
        <v/>
      </c>
      <c r="AU19" s="47">
        <f>IFERROR('[P014_LingoCGM_CGM_Report_FIXED.xlsx]Study Export'!AU$3,"")</f>
        <v/>
      </c>
      <c r="AV19" s="47">
        <f>IFERROR('[P014_LingoCGM_CGM_Report_FIXED.xlsx]Study Export'!AV$3,"")</f>
        <v/>
      </c>
      <c r="AW19" s="56">
        <f>IFERROR('[P014_LingoCGM_CGM_Report_FIXED.xlsx]Study Export'!AW$3,"")</f>
        <v/>
      </c>
      <c r="AX19" s="56">
        <f>IFERROR('[P014_LingoCGM_CGM_Report_FIXED.xlsx]Study Export'!AX$3,"")</f>
        <v/>
      </c>
      <c r="AY19" s="56">
        <f>IFERROR('[P014_LingoCGM_CGM_Report_FIXED.xlsx]Study Export'!AY$3,"")</f>
        <v/>
      </c>
      <c r="AZ19" s="47">
        <f>IFERROR('[P014_LingoCGM_CGM_Report_FIXED.xlsx]Study Export'!AZ$3,"")</f>
        <v/>
      </c>
      <c r="BA19" s="47">
        <f>IFERROR('[P014_LingoCGM_CGM_Report_FIXED.xlsx]Study Export'!BA$3,"")</f>
        <v/>
      </c>
      <c r="BB19" s="47">
        <f>IFERROR('[P014_LingoCGM_CGM_Report_FIXED.xlsx]Study Export'!BB$3,"")</f>
        <v/>
      </c>
      <c r="BC19" s="27">
        <f>IFERROR('[P014_LingoCGM_CGM_Report_FIXED.xlsx]Study Export'!BC$3,"")</f>
        <v/>
      </c>
      <c r="BD19" s="27">
        <f>IFERROR('[P014_LingoCGM_CGM_Report_FIXED.xlsx]Study Export'!BD$3,"")</f>
        <v/>
      </c>
      <c r="BE19" s="27">
        <f>IFERROR('[P014_LingoCGM_CGM_Report_FIXED.xlsx]Study Export'!BE$3,"")</f>
        <v/>
      </c>
      <c r="BF19" s="47">
        <f>IFERROR('[P014_LingoCGM_CGM_Report_FIXED.xlsx]Study Export'!BF$3,"")</f>
        <v/>
      </c>
      <c r="BG19" s="47">
        <f>IFERROR('[P014_LingoCGM_CGM_Report_FIXED.xlsx]Study Export'!BG$3,"")</f>
        <v/>
      </c>
      <c r="BH19" s="47">
        <f>IFERROR('[P014_LingoCGM_CGM_Report_FIXED.xlsx]Study Export'!BH$3,"")</f>
        <v/>
      </c>
      <c r="BI19" s="47">
        <f>IFERROR('[P014_LingoCGM_CGM_Report_FIXED.xlsx]Study Export'!BI$3,"")</f>
        <v/>
      </c>
      <c r="BJ19" s="47">
        <f>IFERROR('[P014_LingoCGM_CGM_Report_FIXED.xlsx]Study Export'!BJ$3,"")</f>
        <v/>
      </c>
      <c r="BK19" s="47">
        <f>IFERROR('[P014_LingoCGM_CGM_Report_FIXED.xlsx]Study Export'!BK$3,"")</f>
        <v/>
      </c>
      <c r="BL19" s="47">
        <f>IFERROR('[P014_LingoCGM_CGM_Report_FIXED.xlsx]Study Export'!BL$3,"")</f>
        <v/>
      </c>
      <c r="BM19" s="47">
        <f>IFERROR('[P014_LingoCGM_CGM_Report_FIXED.xlsx]Study Export'!BM$3,"")</f>
        <v/>
      </c>
      <c r="BN19" s="47">
        <f>IFERROR('[P014_LingoCGM_CGM_Report_FIXED.xlsx]Study Export'!BN$3,"")</f>
        <v/>
      </c>
      <c r="BO19" s="47">
        <f>IFERROR('[P014_LingoCGM_CGM_Report_FIXED.xlsx]Study Export'!BO$3,"")</f>
        <v/>
      </c>
      <c r="BP19" s="47">
        <f>IFERROR('[P014_LingoCGM_CGM_Report_FIXED.xlsx]Study Export'!BP$3,"")</f>
        <v/>
      </c>
      <c r="BQ19" s="47">
        <f>IFERROR('[P014_LingoCGM_CGM_Report_FIXED.xlsx]Study Export'!BQ$3,"")</f>
        <v/>
      </c>
      <c r="BR19" s="47">
        <f>IFERROR('[P014_LingoCGM_CGM_Report_FIXED.xlsx]Study Export'!BR$3,"")</f>
        <v/>
      </c>
      <c r="BS19" s="47">
        <f>IFERROR('[P014_LingoCGM_CGM_Report_FIXED.xlsx]Study Export'!BS$3,"")</f>
        <v/>
      </c>
      <c r="BT19" s="47">
        <f>IFERROR('[P014_LingoCGM_CGM_Report_FIXED.xlsx]Study Export'!BT$3,"")</f>
        <v/>
      </c>
      <c r="BU19" s="47">
        <f>IFERROR('[P014_LingoCGM_CGM_Report_FIXED.xlsx]Study Export'!BU$3,"")</f>
        <v/>
      </c>
      <c r="BV19" s="47">
        <f>IFERROR('[P014_LingoCGM_CGM_Report_FIXED.xlsx]Study Export'!BV$3,"")</f>
        <v/>
      </c>
      <c r="BW19" s="47">
        <f>IFERROR('[P014_LingoCGM_CGM_Report_FIXED.xlsx]Study Export'!BW$3,"")</f>
        <v/>
      </c>
      <c r="BX19">
        <f>IFERROR('[P014_LingoCGM_CGM_Report_FIXED.xlsx]Study Export'!BX$3,"")</f>
        <v/>
      </c>
      <c r="BY19" s="57">
        <f>IFERROR('[P014_LingoCGM_CGM_Report_FIXED.xlsx]Study Export'!BY$3,"")</f>
        <v/>
      </c>
      <c r="BZ19" s="57">
        <f>IFERROR('[P014_LingoCGM_CGM_Report_FIXED.xlsx]Study Export'!BZ$3,"")</f>
        <v/>
      </c>
      <c r="CA19" s="57">
        <f>IFERROR('[P014_LingoCGM_CGM_Report_FIXED.xlsx]Study Export'!CA$3,"")</f>
        <v/>
      </c>
      <c r="CB19" s="58">
        <f>IFERROR('[P014_LingoCGM_CGM_Report_FIXED.xlsx]Study Export'!CB$3,"")</f>
        <v/>
      </c>
      <c r="CC19" s="59">
        <f>IFERROR('[P014_LingoCGM_CGM_Report_FIXED.xlsx]Study Export'!CC$3,"")</f>
        <v/>
      </c>
      <c r="CD19">
        <f>IFERROR('[P014_LingoCGM_CGM_Report_FIXED.xlsx]Study Export'!CD$3,"")</f>
        <v/>
      </c>
      <c r="CE19">
        <f>IFERROR('[P014_LingoCGM_CGM_Report_FIXED.xlsx]Study Export'!CE$3,"")</f>
        <v/>
      </c>
      <c r="CF19" s="60">
        <f>IFERROR('[P014_LingoCGM_CGM_Report_FIXED.xlsx]Study Export'!CF$3,"")</f>
        <v/>
      </c>
      <c r="CG19" s="60">
        <f>IFERROR('[P014_LingoCGM_CGM_Report_FIXED.xlsx]Study Export'!CG$3,"")</f>
        <v/>
      </c>
      <c r="CH19">
        <f>IFERROR('[P014_LingoCGM_CGM_Report_FIXED.xlsx]Study Export'!CH$3,"")</f>
        <v/>
      </c>
    </row>
    <row r="20">
      <c r="A20" s="24">
        <f>IFERROR('[P015_LingoCGM_CGM_Report_FIXED.xlsx]Study Export'!A$3,"")</f>
        <v/>
      </c>
      <c r="B20" s="24">
        <f>IFERROR('[P015_LingoCGM_CGM_Report_FIXED.xlsx]Study Export'!B$3,"")</f>
        <v/>
      </c>
      <c r="C20" s="24">
        <f>IFERROR('[P015_LingoCGM_CGM_Report_FIXED.xlsx]Study Export'!C$3,"")</f>
        <v/>
      </c>
      <c r="D20" s="24">
        <f>IFERROR('[P015_LingoCGM_CGM_Report_FIXED.xlsx]Study Export'!D$3,"")</f>
        <v/>
      </c>
      <c r="E20" s="55">
        <f>IFERROR('[P015_LingoCGM_CGM_Report_FIXED.xlsx]Study Export'!E$3,"")</f>
        <v/>
      </c>
      <c r="F20" s="26">
        <f>IFERROR('[P015_LingoCGM_CGM_Report_FIXED.xlsx]Study Export'!F$3,"")</f>
        <v/>
      </c>
      <c r="G20" s="26">
        <f>IFERROR('[P015_LingoCGM_CGM_Report_FIXED.xlsx]Study Export'!G$3,"")</f>
        <v/>
      </c>
      <c r="H20" s="47">
        <f>IFERROR('[P015_LingoCGM_CGM_Report_FIXED.xlsx]Study Export'!H$3,"")</f>
        <v/>
      </c>
      <c r="I20" s="26">
        <f>IFERROR('[P015_LingoCGM_CGM_Report_FIXED.xlsx]Study Export'!I$3,"")</f>
        <v/>
      </c>
      <c r="J20" s="26">
        <f>IFERROR('[P015_LingoCGM_CGM_Report_FIXED.xlsx]Study Export'!J$3,"")</f>
        <v/>
      </c>
      <c r="K20" s="47">
        <f>IFERROR('[P015_LingoCGM_CGM_Report_FIXED.xlsx]Study Export'!K$3,"")</f>
        <v/>
      </c>
      <c r="L20" s="47">
        <f>IFERROR('[P015_LingoCGM_CGM_Report_FIXED.xlsx]Study Export'!L$3,"")</f>
        <v/>
      </c>
      <c r="M20" s="47">
        <f>IFERROR('[P015_LingoCGM_CGM_Report_FIXED.xlsx]Study Export'!M$3,"")</f>
        <v/>
      </c>
      <c r="N20" s="47">
        <f>IFERROR('[P015_LingoCGM_CGM_Report_FIXED.xlsx]Study Export'!N$3,"")</f>
        <v/>
      </c>
      <c r="O20" s="47">
        <f>IFERROR('[P015_LingoCGM_CGM_Report_FIXED.xlsx]Study Export'!O$3,"")</f>
        <v/>
      </c>
      <c r="P20" s="27">
        <f>IFERROR('[P015_LingoCGM_CGM_Report_FIXED.xlsx]Study Export'!P$3,"")</f>
        <v/>
      </c>
      <c r="Q20" s="27">
        <f>IFERROR('[P015_LingoCGM_CGM_Report_FIXED.xlsx]Study Export'!Q$3,"")</f>
        <v/>
      </c>
      <c r="R20" s="27">
        <f>IFERROR('[P015_LingoCGM_CGM_Report_FIXED.xlsx]Study Export'!R$3,"")</f>
        <v/>
      </c>
      <c r="S20" s="56">
        <f>IFERROR('[P015_LingoCGM_CGM_Report_FIXED.xlsx]Study Export'!S$3,"")</f>
        <v/>
      </c>
      <c r="T20" s="56">
        <f>IFERROR('[P015_LingoCGM_CGM_Report_FIXED.xlsx]Study Export'!T$3,"")</f>
        <v/>
      </c>
      <c r="U20" s="56">
        <f>IFERROR('[P015_LingoCGM_CGM_Report_FIXED.xlsx]Study Export'!U$3,"")</f>
        <v/>
      </c>
      <c r="V20" s="56">
        <f>IFERROR('[P015_LingoCGM_CGM_Report_FIXED.xlsx]Study Export'!V$3,"")</f>
        <v/>
      </c>
      <c r="W20" s="56">
        <f>IFERROR('[P015_LingoCGM_CGM_Report_FIXED.xlsx]Study Export'!W$3,"")</f>
        <v/>
      </c>
      <c r="X20" s="56">
        <f>IFERROR('[P015_LingoCGM_CGM_Report_FIXED.xlsx]Study Export'!X$3,"")</f>
        <v/>
      </c>
      <c r="Y20" s="56">
        <f>IFERROR('[P015_LingoCGM_CGM_Report_FIXED.xlsx]Study Export'!Y$3,"")</f>
        <v/>
      </c>
      <c r="Z20" s="56">
        <f>IFERROR('[P015_LingoCGM_CGM_Report_FIXED.xlsx]Study Export'!Z$3,"")</f>
        <v/>
      </c>
      <c r="AA20" s="56">
        <f>IFERROR('[P015_LingoCGM_CGM_Report_FIXED.xlsx]Study Export'!AA$3,"")</f>
        <v/>
      </c>
      <c r="AB20" s="56">
        <f>IFERROR('[P015_LingoCGM_CGM_Report_FIXED.xlsx]Study Export'!AB$3,"")</f>
        <v/>
      </c>
      <c r="AC20" s="56">
        <f>IFERROR('[P015_LingoCGM_CGM_Report_FIXED.xlsx]Study Export'!AC$3,"")</f>
        <v/>
      </c>
      <c r="AD20" s="56">
        <f>IFERROR('[P015_LingoCGM_CGM_Report_FIXED.xlsx]Study Export'!AD$3,"")</f>
        <v/>
      </c>
      <c r="AE20" s="56">
        <f>IFERROR('[P015_LingoCGM_CGM_Report_FIXED.xlsx]Study Export'!AE$3,"")</f>
        <v/>
      </c>
      <c r="AF20" s="56">
        <f>IFERROR('[P015_LingoCGM_CGM_Report_FIXED.xlsx]Study Export'!AF$3,"")</f>
        <v/>
      </c>
      <c r="AG20" s="56">
        <f>IFERROR('[P015_LingoCGM_CGM_Report_FIXED.xlsx]Study Export'!AG$3,"")</f>
        <v/>
      </c>
      <c r="AH20" s="27">
        <f>IFERROR('[P015_LingoCGM_CGM_Report_FIXED.xlsx]Study Export'!AH$3,"")</f>
        <v/>
      </c>
      <c r="AI20" s="27">
        <f>IFERROR('[P015_LingoCGM_CGM_Report_FIXED.xlsx]Study Export'!AI$3,"")</f>
        <v/>
      </c>
      <c r="AJ20" s="27">
        <f>IFERROR('[P015_LingoCGM_CGM_Report_FIXED.xlsx]Study Export'!AJ$3,"")</f>
        <v/>
      </c>
      <c r="AK20" s="27">
        <f>IFERROR('[P015_LingoCGM_CGM_Report_FIXED.xlsx]Study Export'!AK$3,"")</f>
        <v/>
      </c>
      <c r="AL20" s="27">
        <f>IFERROR('[P015_LingoCGM_CGM_Report_FIXED.xlsx]Study Export'!AL$3,"")</f>
        <v/>
      </c>
      <c r="AM20" s="27">
        <f>IFERROR('[P015_LingoCGM_CGM_Report_FIXED.xlsx]Study Export'!AM$3,"")</f>
        <v/>
      </c>
      <c r="AN20" s="27">
        <f>IFERROR('[P015_LingoCGM_CGM_Report_FIXED.xlsx]Study Export'!AN$3,"")</f>
        <v/>
      </c>
      <c r="AO20" s="27">
        <f>IFERROR('[P015_LingoCGM_CGM_Report_FIXED.xlsx]Study Export'!AO$3,"")</f>
        <v/>
      </c>
      <c r="AP20" s="27">
        <f>IFERROR('[P015_LingoCGM_CGM_Report_FIXED.xlsx]Study Export'!AP$3,"")</f>
        <v/>
      </c>
      <c r="AQ20" s="27">
        <f>IFERROR('[P015_LingoCGM_CGM_Report_FIXED.xlsx]Study Export'!AQ$3,"")</f>
        <v/>
      </c>
      <c r="AR20" s="27">
        <f>IFERROR('[P015_LingoCGM_CGM_Report_FIXED.xlsx]Study Export'!AR$3,"")</f>
        <v/>
      </c>
      <c r="AS20" s="27">
        <f>IFERROR('[P015_LingoCGM_CGM_Report_FIXED.xlsx]Study Export'!AS$3,"")</f>
        <v/>
      </c>
      <c r="AT20" s="47">
        <f>IFERROR('[P015_LingoCGM_CGM_Report_FIXED.xlsx]Study Export'!AT$3,"")</f>
        <v/>
      </c>
      <c r="AU20" s="47">
        <f>IFERROR('[P015_LingoCGM_CGM_Report_FIXED.xlsx]Study Export'!AU$3,"")</f>
        <v/>
      </c>
      <c r="AV20" s="47">
        <f>IFERROR('[P015_LingoCGM_CGM_Report_FIXED.xlsx]Study Export'!AV$3,"")</f>
        <v/>
      </c>
      <c r="AW20" s="56">
        <f>IFERROR('[P015_LingoCGM_CGM_Report_FIXED.xlsx]Study Export'!AW$3,"")</f>
        <v/>
      </c>
      <c r="AX20" s="56">
        <f>IFERROR('[P015_LingoCGM_CGM_Report_FIXED.xlsx]Study Export'!AX$3,"")</f>
        <v/>
      </c>
      <c r="AY20" s="56">
        <f>IFERROR('[P015_LingoCGM_CGM_Report_FIXED.xlsx]Study Export'!AY$3,"")</f>
        <v/>
      </c>
      <c r="AZ20" s="47">
        <f>IFERROR('[P015_LingoCGM_CGM_Report_FIXED.xlsx]Study Export'!AZ$3,"")</f>
        <v/>
      </c>
      <c r="BA20" s="47">
        <f>IFERROR('[P015_LingoCGM_CGM_Report_FIXED.xlsx]Study Export'!BA$3,"")</f>
        <v/>
      </c>
      <c r="BB20" s="47">
        <f>IFERROR('[P015_LingoCGM_CGM_Report_FIXED.xlsx]Study Export'!BB$3,"")</f>
        <v/>
      </c>
      <c r="BC20" s="27">
        <f>IFERROR('[P015_LingoCGM_CGM_Report_FIXED.xlsx]Study Export'!BC$3,"")</f>
        <v/>
      </c>
      <c r="BD20" s="27">
        <f>IFERROR('[P015_LingoCGM_CGM_Report_FIXED.xlsx]Study Export'!BD$3,"")</f>
        <v/>
      </c>
      <c r="BE20" s="27">
        <f>IFERROR('[P015_LingoCGM_CGM_Report_FIXED.xlsx]Study Export'!BE$3,"")</f>
        <v/>
      </c>
      <c r="BF20" s="47">
        <f>IFERROR('[P015_LingoCGM_CGM_Report_FIXED.xlsx]Study Export'!BF$3,"")</f>
        <v/>
      </c>
      <c r="BG20" s="47">
        <f>IFERROR('[P015_LingoCGM_CGM_Report_FIXED.xlsx]Study Export'!BG$3,"")</f>
        <v/>
      </c>
      <c r="BH20" s="47">
        <f>IFERROR('[P015_LingoCGM_CGM_Report_FIXED.xlsx]Study Export'!BH$3,"")</f>
        <v/>
      </c>
      <c r="BI20" s="47">
        <f>IFERROR('[P015_LingoCGM_CGM_Report_FIXED.xlsx]Study Export'!BI$3,"")</f>
        <v/>
      </c>
      <c r="BJ20" s="47">
        <f>IFERROR('[P015_LingoCGM_CGM_Report_FIXED.xlsx]Study Export'!BJ$3,"")</f>
        <v/>
      </c>
      <c r="BK20" s="47">
        <f>IFERROR('[P015_LingoCGM_CGM_Report_FIXED.xlsx]Study Export'!BK$3,"")</f>
        <v/>
      </c>
      <c r="BL20" s="47">
        <f>IFERROR('[P015_LingoCGM_CGM_Report_FIXED.xlsx]Study Export'!BL$3,"")</f>
        <v/>
      </c>
      <c r="BM20" s="47">
        <f>IFERROR('[P015_LingoCGM_CGM_Report_FIXED.xlsx]Study Export'!BM$3,"")</f>
        <v/>
      </c>
      <c r="BN20" s="47">
        <f>IFERROR('[P015_LingoCGM_CGM_Report_FIXED.xlsx]Study Export'!BN$3,"")</f>
        <v/>
      </c>
      <c r="BO20" s="47">
        <f>IFERROR('[P015_LingoCGM_CGM_Report_FIXED.xlsx]Study Export'!BO$3,"")</f>
        <v/>
      </c>
      <c r="BP20" s="47">
        <f>IFERROR('[P015_LingoCGM_CGM_Report_FIXED.xlsx]Study Export'!BP$3,"")</f>
        <v/>
      </c>
      <c r="BQ20" s="47">
        <f>IFERROR('[P015_LingoCGM_CGM_Report_FIXED.xlsx]Study Export'!BQ$3,"")</f>
        <v/>
      </c>
      <c r="BR20" s="47">
        <f>IFERROR('[P015_LingoCGM_CGM_Report_FIXED.xlsx]Study Export'!BR$3,"")</f>
        <v/>
      </c>
      <c r="BS20" s="47">
        <f>IFERROR('[P015_LingoCGM_CGM_Report_FIXED.xlsx]Study Export'!BS$3,"")</f>
        <v/>
      </c>
      <c r="BT20" s="47">
        <f>IFERROR('[P015_LingoCGM_CGM_Report_FIXED.xlsx]Study Export'!BT$3,"")</f>
        <v/>
      </c>
      <c r="BU20" s="47">
        <f>IFERROR('[P015_LingoCGM_CGM_Report_FIXED.xlsx]Study Export'!BU$3,"")</f>
        <v/>
      </c>
      <c r="BV20" s="47">
        <f>IFERROR('[P015_LingoCGM_CGM_Report_FIXED.xlsx]Study Export'!BV$3,"")</f>
        <v/>
      </c>
      <c r="BW20" s="47">
        <f>IFERROR('[P015_LingoCGM_CGM_Report_FIXED.xlsx]Study Export'!BW$3,"")</f>
        <v/>
      </c>
      <c r="BX20">
        <f>IFERROR('[P015_LingoCGM_CGM_Report_FIXED.xlsx]Study Export'!BX$3,"")</f>
        <v/>
      </c>
      <c r="BY20" s="57">
        <f>IFERROR('[P015_LingoCGM_CGM_Report_FIXED.xlsx]Study Export'!BY$3,"")</f>
        <v/>
      </c>
      <c r="BZ20" s="57">
        <f>IFERROR('[P015_LingoCGM_CGM_Report_FIXED.xlsx]Study Export'!BZ$3,"")</f>
        <v/>
      </c>
      <c r="CA20" s="57">
        <f>IFERROR('[P015_LingoCGM_CGM_Report_FIXED.xlsx]Study Export'!CA$3,"")</f>
        <v/>
      </c>
      <c r="CB20" s="58">
        <f>IFERROR('[P015_LingoCGM_CGM_Report_FIXED.xlsx]Study Export'!CB$3,"")</f>
        <v/>
      </c>
      <c r="CC20" s="59">
        <f>IFERROR('[P015_LingoCGM_CGM_Report_FIXED.xlsx]Study Export'!CC$3,"")</f>
        <v/>
      </c>
      <c r="CD20">
        <f>IFERROR('[P015_LingoCGM_CGM_Report_FIXED.xlsx]Study Export'!CD$3,"")</f>
        <v/>
      </c>
      <c r="CE20">
        <f>IFERROR('[P015_LingoCGM_CGM_Report_FIXED.xlsx]Study Export'!CE$3,"")</f>
        <v/>
      </c>
      <c r="CF20" s="60">
        <f>IFERROR('[P015_LingoCGM_CGM_Report_FIXED.xlsx]Study Export'!CF$3,"")</f>
        <v/>
      </c>
      <c r="CG20" s="60">
        <f>IFERROR('[P015_LingoCGM_CGM_Report_FIXED.xlsx]Study Export'!CG$3,"")</f>
        <v/>
      </c>
      <c r="CH20">
        <f>IFERROR('[P015_LingoCGM_CGM_Report_FIXED.xlsx]Study Export'!CH$3,"")</f>
        <v/>
      </c>
    </row>
    <row r="21">
      <c r="A21" s="24">
        <f>IFERROR('[P016_LingoCGM_CGM_Report_FIXED.xlsx]Study Export'!A$3,"")</f>
        <v/>
      </c>
      <c r="B21" s="24">
        <f>IFERROR('[P016_LingoCGM_CGM_Report_FIXED.xlsx]Study Export'!B$3,"")</f>
        <v/>
      </c>
      <c r="C21" s="24">
        <f>IFERROR('[P016_LingoCGM_CGM_Report_FIXED.xlsx]Study Export'!C$3,"")</f>
        <v/>
      </c>
      <c r="D21" s="24">
        <f>IFERROR('[P016_LingoCGM_CGM_Report_FIXED.xlsx]Study Export'!D$3,"")</f>
        <v/>
      </c>
      <c r="E21" s="55">
        <f>IFERROR('[P016_LingoCGM_CGM_Report_FIXED.xlsx]Study Export'!E$3,"")</f>
        <v/>
      </c>
      <c r="F21" s="26">
        <f>IFERROR('[P016_LingoCGM_CGM_Report_FIXED.xlsx]Study Export'!F$3,"")</f>
        <v/>
      </c>
      <c r="G21" s="26">
        <f>IFERROR('[P016_LingoCGM_CGM_Report_FIXED.xlsx]Study Export'!G$3,"")</f>
        <v/>
      </c>
      <c r="H21" s="47">
        <f>IFERROR('[P016_LingoCGM_CGM_Report_FIXED.xlsx]Study Export'!H$3,"")</f>
        <v/>
      </c>
      <c r="I21" s="26">
        <f>IFERROR('[P016_LingoCGM_CGM_Report_FIXED.xlsx]Study Export'!I$3,"")</f>
        <v/>
      </c>
      <c r="J21" s="26">
        <f>IFERROR('[P016_LingoCGM_CGM_Report_FIXED.xlsx]Study Export'!J$3,"")</f>
        <v/>
      </c>
      <c r="K21" s="47">
        <f>IFERROR('[P016_LingoCGM_CGM_Report_FIXED.xlsx]Study Export'!K$3,"")</f>
        <v/>
      </c>
      <c r="L21" s="47">
        <f>IFERROR('[P016_LingoCGM_CGM_Report_FIXED.xlsx]Study Export'!L$3,"")</f>
        <v/>
      </c>
      <c r="M21" s="47">
        <f>IFERROR('[P016_LingoCGM_CGM_Report_FIXED.xlsx]Study Export'!M$3,"")</f>
        <v/>
      </c>
      <c r="N21" s="47">
        <f>IFERROR('[P016_LingoCGM_CGM_Report_FIXED.xlsx]Study Export'!N$3,"")</f>
        <v/>
      </c>
      <c r="O21" s="47">
        <f>IFERROR('[P016_LingoCGM_CGM_Report_FIXED.xlsx]Study Export'!O$3,"")</f>
        <v/>
      </c>
      <c r="P21" s="27">
        <f>IFERROR('[P016_LingoCGM_CGM_Report_FIXED.xlsx]Study Export'!P$3,"")</f>
        <v/>
      </c>
      <c r="Q21" s="27">
        <f>IFERROR('[P016_LingoCGM_CGM_Report_FIXED.xlsx]Study Export'!Q$3,"")</f>
        <v/>
      </c>
      <c r="R21" s="27">
        <f>IFERROR('[P016_LingoCGM_CGM_Report_FIXED.xlsx]Study Export'!R$3,"")</f>
        <v/>
      </c>
      <c r="S21" s="56">
        <f>IFERROR('[P016_LingoCGM_CGM_Report_FIXED.xlsx]Study Export'!S$3,"")</f>
        <v/>
      </c>
      <c r="T21" s="56">
        <f>IFERROR('[P016_LingoCGM_CGM_Report_FIXED.xlsx]Study Export'!T$3,"")</f>
        <v/>
      </c>
      <c r="U21" s="56">
        <f>IFERROR('[P016_LingoCGM_CGM_Report_FIXED.xlsx]Study Export'!U$3,"")</f>
        <v/>
      </c>
      <c r="V21" s="56">
        <f>IFERROR('[P016_LingoCGM_CGM_Report_FIXED.xlsx]Study Export'!V$3,"")</f>
        <v/>
      </c>
      <c r="W21" s="56">
        <f>IFERROR('[P016_LingoCGM_CGM_Report_FIXED.xlsx]Study Export'!W$3,"")</f>
        <v/>
      </c>
      <c r="X21" s="56">
        <f>IFERROR('[P016_LingoCGM_CGM_Report_FIXED.xlsx]Study Export'!X$3,"")</f>
        <v/>
      </c>
      <c r="Y21" s="56">
        <f>IFERROR('[P016_LingoCGM_CGM_Report_FIXED.xlsx]Study Export'!Y$3,"")</f>
        <v/>
      </c>
      <c r="Z21" s="56">
        <f>IFERROR('[P016_LingoCGM_CGM_Report_FIXED.xlsx]Study Export'!Z$3,"")</f>
        <v/>
      </c>
      <c r="AA21" s="56">
        <f>IFERROR('[P016_LingoCGM_CGM_Report_FIXED.xlsx]Study Export'!AA$3,"")</f>
        <v/>
      </c>
      <c r="AB21" s="56">
        <f>IFERROR('[P016_LingoCGM_CGM_Report_FIXED.xlsx]Study Export'!AB$3,"")</f>
        <v/>
      </c>
      <c r="AC21" s="56">
        <f>IFERROR('[P016_LingoCGM_CGM_Report_FIXED.xlsx]Study Export'!AC$3,"")</f>
        <v/>
      </c>
      <c r="AD21" s="56">
        <f>IFERROR('[P016_LingoCGM_CGM_Report_FIXED.xlsx]Study Export'!AD$3,"")</f>
        <v/>
      </c>
      <c r="AE21" s="56">
        <f>IFERROR('[P016_LingoCGM_CGM_Report_FIXED.xlsx]Study Export'!AE$3,"")</f>
        <v/>
      </c>
      <c r="AF21" s="56">
        <f>IFERROR('[P016_LingoCGM_CGM_Report_FIXED.xlsx]Study Export'!AF$3,"")</f>
        <v/>
      </c>
      <c r="AG21" s="56">
        <f>IFERROR('[P016_LingoCGM_CGM_Report_FIXED.xlsx]Study Export'!AG$3,"")</f>
        <v/>
      </c>
      <c r="AH21" s="27">
        <f>IFERROR('[P016_LingoCGM_CGM_Report_FIXED.xlsx]Study Export'!AH$3,"")</f>
        <v/>
      </c>
      <c r="AI21" s="27">
        <f>IFERROR('[P016_LingoCGM_CGM_Report_FIXED.xlsx]Study Export'!AI$3,"")</f>
        <v/>
      </c>
      <c r="AJ21" s="27">
        <f>IFERROR('[P016_LingoCGM_CGM_Report_FIXED.xlsx]Study Export'!AJ$3,"")</f>
        <v/>
      </c>
      <c r="AK21" s="27">
        <f>IFERROR('[P016_LingoCGM_CGM_Report_FIXED.xlsx]Study Export'!AK$3,"")</f>
        <v/>
      </c>
      <c r="AL21" s="27">
        <f>IFERROR('[P016_LingoCGM_CGM_Report_FIXED.xlsx]Study Export'!AL$3,"")</f>
        <v/>
      </c>
      <c r="AM21" s="27">
        <f>IFERROR('[P016_LingoCGM_CGM_Report_FIXED.xlsx]Study Export'!AM$3,"")</f>
        <v/>
      </c>
      <c r="AN21" s="27">
        <f>IFERROR('[P016_LingoCGM_CGM_Report_FIXED.xlsx]Study Export'!AN$3,"")</f>
        <v/>
      </c>
      <c r="AO21" s="27">
        <f>IFERROR('[P016_LingoCGM_CGM_Report_FIXED.xlsx]Study Export'!AO$3,"")</f>
        <v/>
      </c>
      <c r="AP21" s="27">
        <f>IFERROR('[P016_LingoCGM_CGM_Report_FIXED.xlsx]Study Export'!AP$3,"")</f>
        <v/>
      </c>
      <c r="AQ21" s="27">
        <f>IFERROR('[P016_LingoCGM_CGM_Report_FIXED.xlsx]Study Export'!AQ$3,"")</f>
        <v/>
      </c>
      <c r="AR21" s="27">
        <f>IFERROR('[P016_LingoCGM_CGM_Report_FIXED.xlsx]Study Export'!AR$3,"")</f>
        <v/>
      </c>
      <c r="AS21" s="27">
        <f>IFERROR('[P016_LingoCGM_CGM_Report_FIXED.xlsx]Study Export'!AS$3,"")</f>
        <v/>
      </c>
      <c r="AT21" s="47">
        <f>IFERROR('[P016_LingoCGM_CGM_Report_FIXED.xlsx]Study Export'!AT$3,"")</f>
        <v/>
      </c>
      <c r="AU21" s="47">
        <f>IFERROR('[P016_LingoCGM_CGM_Report_FIXED.xlsx]Study Export'!AU$3,"")</f>
        <v/>
      </c>
      <c r="AV21" s="47">
        <f>IFERROR('[P016_LingoCGM_CGM_Report_FIXED.xlsx]Study Export'!AV$3,"")</f>
        <v/>
      </c>
      <c r="AW21" s="56">
        <f>IFERROR('[P016_LingoCGM_CGM_Report_FIXED.xlsx]Study Export'!AW$3,"")</f>
        <v/>
      </c>
      <c r="AX21" s="56">
        <f>IFERROR('[P016_LingoCGM_CGM_Report_FIXED.xlsx]Study Export'!AX$3,"")</f>
        <v/>
      </c>
      <c r="AY21" s="56">
        <f>IFERROR('[P016_LingoCGM_CGM_Report_FIXED.xlsx]Study Export'!AY$3,"")</f>
        <v/>
      </c>
      <c r="AZ21" s="47">
        <f>IFERROR('[P016_LingoCGM_CGM_Report_FIXED.xlsx]Study Export'!AZ$3,"")</f>
        <v/>
      </c>
      <c r="BA21" s="47">
        <f>IFERROR('[P016_LingoCGM_CGM_Report_FIXED.xlsx]Study Export'!BA$3,"")</f>
        <v/>
      </c>
      <c r="BB21" s="47">
        <f>IFERROR('[P016_LingoCGM_CGM_Report_FIXED.xlsx]Study Export'!BB$3,"")</f>
        <v/>
      </c>
      <c r="BC21" s="27">
        <f>IFERROR('[P016_LingoCGM_CGM_Report_FIXED.xlsx]Study Export'!BC$3,"")</f>
        <v/>
      </c>
      <c r="BD21" s="27">
        <f>IFERROR('[P016_LingoCGM_CGM_Report_FIXED.xlsx]Study Export'!BD$3,"")</f>
        <v/>
      </c>
      <c r="BE21" s="27">
        <f>IFERROR('[P016_LingoCGM_CGM_Report_FIXED.xlsx]Study Export'!BE$3,"")</f>
        <v/>
      </c>
      <c r="BF21" s="47">
        <f>IFERROR('[P016_LingoCGM_CGM_Report_FIXED.xlsx]Study Export'!BF$3,"")</f>
        <v/>
      </c>
      <c r="BG21" s="47">
        <f>IFERROR('[P016_LingoCGM_CGM_Report_FIXED.xlsx]Study Export'!BG$3,"")</f>
        <v/>
      </c>
      <c r="BH21" s="47">
        <f>IFERROR('[P016_LingoCGM_CGM_Report_FIXED.xlsx]Study Export'!BH$3,"")</f>
        <v/>
      </c>
      <c r="BI21" s="47">
        <f>IFERROR('[P016_LingoCGM_CGM_Report_FIXED.xlsx]Study Export'!BI$3,"")</f>
        <v/>
      </c>
      <c r="BJ21" s="47">
        <f>IFERROR('[P016_LingoCGM_CGM_Report_FIXED.xlsx]Study Export'!BJ$3,"")</f>
        <v/>
      </c>
      <c r="BK21" s="47">
        <f>IFERROR('[P016_LingoCGM_CGM_Report_FIXED.xlsx]Study Export'!BK$3,"")</f>
        <v/>
      </c>
      <c r="BL21" s="47">
        <f>IFERROR('[P016_LingoCGM_CGM_Report_FIXED.xlsx]Study Export'!BL$3,"")</f>
        <v/>
      </c>
      <c r="BM21" s="47">
        <f>IFERROR('[P016_LingoCGM_CGM_Report_FIXED.xlsx]Study Export'!BM$3,"")</f>
        <v/>
      </c>
      <c r="BN21" s="47">
        <f>IFERROR('[P016_LingoCGM_CGM_Report_FIXED.xlsx]Study Export'!BN$3,"")</f>
        <v/>
      </c>
      <c r="BO21" s="47">
        <f>IFERROR('[P016_LingoCGM_CGM_Report_FIXED.xlsx]Study Export'!BO$3,"")</f>
        <v/>
      </c>
      <c r="BP21" s="47">
        <f>IFERROR('[P016_LingoCGM_CGM_Report_FIXED.xlsx]Study Export'!BP$3,"")</f>
        <v/>
      </c>
      <c r="BQ21" s="47">
        <f>IFERROR('[P016_LingoCGM_CGM_Report_FIXED.xlsx]Study Export'!BQ$3,"")</f>
        <v/>
      </c>
      <c r="BR21" s="47">
        <f>IFERROR('[P016_LingoCGM_CGM_Report_FIXED.xlsx]Study Export'!BR$3,"")</f>
        <v/>
      </c>
      <c r="BS21" s="47">
        <f>IFERROR('[P016_LingoCGM_CGM_Report_FIXED.xlsx]Study Export'!BS$3,"")</f>
        <v/>
      </c>
      <c r="BT21" s="47">
        <f>IFERROR('[P016_LingoCGM_CGM_Report_FIXED.xlsx]Study Export'!BT$3,"")</f>
        <v/>
      </c>
      <c r="BU21" s="47">
        <f>IFERROR('[P016_LingoCGM_CGM_Report_FIXED.xlsx]Study Export'!BU$3,"")</f>
        <v/>
      </c>
      <c r="BV21" s="47">
        <f>IFERROR('[P016_LingoCGM_CGM_Report_FIXED.xlsx]Study Export'!BV$3,"")</f>
        <v/>
      </c>
      <c r="BW21" s="47">
        <f>IFERROR('[P016_LingoCGM_CGM_Report_FIXED.xlsx]Study Export'!BW$3,"")</f>
        <v/>
      </c>
      <c r="BX21">
        <f>IFERROR('[P016_LingoCGM_CGM_Report_FIXED.xlsx]Study Export'!BX$3,"")</f>
        <v/>
      </c>
      <c r="BY21" s="57">
        <f>IFERROR('[P016_LingoCGM_CGM_Report_FIXED.xlsx]Study Export'!BY$3,"")</f>
        <v/>
      </c>
      <c r="BZ21" s="57">
        <f>IFERROR('[P016_LingoCGM_CGM_Report_FIXED.xlsx]Study Export'!BZ$3,"")</f>
        <v/>
      </c>
      <c r="CA21" s="57">
        <f>IFERROR('[P016_LingoCGM_CGM_Report_FIXED.xlsx]Study Export'!CA$3,"")</f>
        <v/>
      </c>
      <c r="CB21" s="58">
        <f>IFERROR('[P016_LingoCGM_CGM_Report_FIXED.xlsx]Study Export'!CB$3,"")</f>
        <v/>
      </c>
      <c r="CC21" s="59">
        <f>IFERROR('[P016_LingoCGM_CGM_Report_FIXED.xlsx]Study Export'!CC$3,"")</f>
        <v/>
      </c>
      <c r="CD21">
        <f>IFERROR('[P016_LingoCGM_CGM_Report_FIXED.xlsx]Study Export'!CD$3,"")</f>
        <v/>
      </c>
      <c r="CE21">
        <f>IFERROR('[P016_LingoCGM_CGM_Report_FIXED.xlsx]Study Export'!CE$3,"")</f>
        <v/>
      </c>
      <c r="CF21" s="60">
        <f>IFERROR('[P016_LingoCGM_CGM_Report_FIXED.xlsx]Study Export'!CF$3,"")</f>
        <v/>
      </c>
      <c r="CG21" s="60">
        <f>IFERROR('[P016_LingoCGM_CGM_Report_FIXED.xlsx]Study Export'!CG$3,"")</f>
        <v/>
      </c>
      <c r="CH21">
        <f>IFERROR('[P016_LingoCGM_CGM_Report_FIXED.xlsx]Study Export'!CH$3,"")</f>
        <v/>
      </c>
    </row>
    <row r="22">
      <c r="A22" s="24">
        <f>IFERROR('[P017_LingoCGM_CGM_Report_FIXED.xlsx]Study Export'!A$3,"")</f>
        <v/>
      </c>
      <c r="B22" s="24">
        <f>IFERROR('[P017_LingoCGM_CGM_Report_FIXED.xlsx]Study Export'!B$3,"")</f>
        <v/>
      </c>
      <c r="C22" s="24">
        <f>IFERROR('[P017_LingoCGM_CGM_Report_FIXED.xlsx]Study Export'!C$3,"")</f>
        <v/>
      </c>
      <c r="D22" s="24">
        <f>IFERROR('[P017_LingoCGM_CGM_Report_FIXED.xlsx]Study Export'!D$3,"")</f>
        <v/>
      </c>
      <c r="E22" s="55">
        <f>IFERROR('[P017_LingoCGM_CGM_Report_FIXED.xlsx]Study Export'!E$3,"")</f>
        <v/>
      </c>
      <c r="F22" s="26">
        <f>IFERROR('[P017_LingoCGM_CGM_Report_FIXED.xlsx]Study Export'!F$3,"")</f>
        <v/>
      </c>
      <c r="G22" s="26">
        <f>IFERROR('[P017_LingoCGM_CGM_Report_FIXED.xlsx]Study Export'!G$3,"")</f>
        <v/>
      </c>
      <c r="H22" s="47">
        <f>IFERROR('[P017_LingoCGM_CGM_Report_FIXED.xlsx]Study Export'!H$3,"")</f>
        <v/>
      </c>
      <c r="I22" s="26">
        <f>IFERROR('[P017_LingoCGM_CGM_Report_FIXED.xlsx]Study Export'!I$3,"")</f>
        <v/>
      </c>
      <c r="J22" s="26">
        <f>IFERROR('[P017_LingoCGM_CGM_Report_FIXED.xlsx]Study Export'!J$3,"")</f>
        <v/>
      </c>
      <c r="K22" s="47">
        <f>IFERROR('[P017_LingoCGM_CGM_Report_FIXED.xlsx]Study Export'!K$3,"")</f>
        <v/>
      </c>
      <c r="L22" s="47">
        <f>IFERROR('[P017_LingoCGM_CGM_Report_FIXED.xlsx]Study Export'!L$3,"")</f>
        <v/>
      </c>
      <c r="M22" s="47">
        <f>IFERROR('[P017_LingoCGM_CGM_Report_FIXED.xlsx]Study Export'!M$3,"")</f>
        <v/>
      </c>
      <c r="N22" s="47">
        <f>IFERROR('[P017_LingoCGM_CGM_Report_FIXED.xlsx]Study Export'!N$3,"")</f>
        <v/>
      </c>
      <c r="O22" s="47">
        <f>IFERROR('[P017_LingoCGM_CGM_Report_FIXED.xlsx]Study Export'!O$3,"")</f>
        <v/>
      </c>
      <c r="P22" s="27">
        <f>IFERROR('[P017_LingoCGM_CGM_Report_FIXED.xlsx]Study Export'!P$3,"")</f>
        <v/>
      </c>
      <c r="Q22" s="27">
        <f>IFERROR('[P017_LingoCGM_CGM_Report_FIXED.xlsx]Study Export'!Q$3,"")</f>
        <v/>
      </c>
      <c r="R22" s="27">
        <f>IFERROR('[P017_LingoCGM_CGM_Report_FIXED.xlsx]Study Export'!R$3,"")</f>
        <v/>
      </c>
      <c r="S22" s="56">
        <f>IFERROR('[P017_LingoCGM_CGM_Report_FIXED.xlsx]Study Export'!S$3,"")</f>
        <v/>
      </c>
      <c r="T22" s="56">
        <f>IFERROR('[P017_LingoCGM_CGM_Report_FIXED.xlsx]Study Export'!T$3,"")</f>
        <v/>
      </c>
      <c r="U22" s="56">
        <f>IFERROR('[P017_LingoCGM_CGM_Report_FIXED.xlsx]Study Export'!U$3,"")</f>
        <v/>
      </c>
      <c r="V22" s="56">
        <f>IFERROR('[P017_LingoCGM_CGM_Report_FIXED.xlsx]Study Export'!V$3,"")</f>
        <v/>
      </c>
      <c r="W22" s="56">
        <f>IFERROR('[P017_LingoCGM_CGM_Report_FIXED.xlsx]Study Export'!W$3,"")</f>
        <v/>
      </c>
      <c r="X22" s="56">
        <f>IFERROR('[P017_LingoCGM_CGM_Report_FIXED.xlsx]Study Export'!X$3,"")</f>
        <v/>
      </c>
      <c r="Y22" s="56">
        <f>IFERROR('[P017_LingoCGM_CGM_Report_FIXED.xlsx]Study Export'!Y$3,"")</f>
        <v/>
      </c>
      <c r="Z22" s="56">
        <f>IFERROR('[P017_LingoCGM_CGM_Report_FIXED.xlsx]Study Export'!Z$3,"")</f>
        <v/>
      </c>
      <c r="AA22" s="56">
        <f>IFERROR('[P017_LingoCGM_CGM_Report_FIXED.xlsx]Study Export'!AA$3,"")</f>
        <v/>
      </c>
      <c r="AB22" s="56">
        <f>IFERROR('[P017_LingoCGM_CGM_Report_FIXED.xlsx]Study Export'!AB$3,"")</f>
        <v/>
      </c>
      <c r="AC22" s="56">
        <f>IFERROR('[P017_LingoCGM_CGM_Report_FIXED.xlsx]Study Export'!AC$3,"")</f>
        <v/>
      </c>
      <c r="AD22" s="56">
        <f>IFERROR('[P017_LingoCGM_CGM_Report_FIXED.xlsx]Study Export'!AD$3,"")</f>
        <v/>
      </c>
      <c r="AE22" s="56">
        <f>IFERROR('[P017_LingoCGM_CGM_Report_FIXED.xlsx]Study Export'!AE$3,"")</f>
        <v/>
      </c>
      <c r="AF22" s="56">
        <f>IFERROR('[P017_LingoCGM_CGM_Report_FIXED.xlsx]Study Export'!AF$3,"")</f>
        <v/>
      </c>
      <c r="AG22" s="56">
        <f>IFERROR('[P017_LingoCGM_CGM_Report_FIXED.xlsx]Study Export'!AG$3,"")</f>
        <v/>
      </c>
      <c r="AH22" s="27">
        <f>IFERROR('[P017_LingoCGM_CGM_Report_FIXED.xlsx]Study Export'!AH$3,"")</f>
        <v/>
      </c>
      <c r="AI22" s="27">
        <f>IFERROR('[P017_LingoCGM_CGM_Report_FIXED.xlsx]Study Export'!AI$3,"")</f>
        <v/>
      </c>
      <c r="AJ22" s="27">
        <f>IFERROR('[P017_LingoCGM_CGM_Report_FIXED.xlsx]Study Export'!AJ$3,"")</f>
        <v/>
      </c>
      <c r="AK22" s="27">
        <f>IFERROR('[P017_LingoCGM_CGM_Report_FIXED.xlsx]Study Export'!AK$3,"")</f>
        <v/>
      </c>
      <c r="AL22" s="27">
        <f>IFERROR('[P017_LingoCGM_CGM_Report_FIXED.xlsx]Study Export'!AL$3,"")</f>
        <v/>
      </c>
      <c r="AM22" s="27">
        <f>IFERROR('[P017_LingoCGM_CGM_Report_FIXED.xlsx]Study Export'!AM$3,"")</f>
        <v/>
      </c>
      <c r="AN22" s="27">
        <f>IFERROR('[P017_LingoCGM_CGM_Report_FIXED.xlsx]Study Export'!AN$3,"")</f>
        <v/>
      </c>
      <c r="AO22" s="27">
        <f>IFERROR('[P017_LingoCGM_CGM_Report_FIXED.xlsx]Study Export'!AO$3,"")</f>
        <v/>
      </c>
      <c r="AP22" s="27">
        <f>IFERROR('[P017_LingoCGM_CGM_Report_FIXED.xlsx]Study Export'!AP$3,"")</f>
        <v/>
      </c>
      <c r="AQ22" s="27">
        <f>IFERROR('[P017_LingoCGM_CGM_Report_FIXED.xlsx]Study Export'!AQ$3,"")</f>
        <v/>
      </c>
      <c r="AR22" s="27">
        <f>IFERROR('[P017_LingoCGM_CGM_Report_FIXED.xlsx]Study Export'!AR$3,"")</f>
        <v/>
      </c>
      <c r="AS22" s="27">
        <f>IFERROR('[P017_LingoCGM_CGM_Report_FIXED.xlsx]Study Export'!AS$3,"")</f>
        <v/>
      </c>
      <c r="AT22" s="47">
        <f>IFERROR('[P017_LingoCGM_CGM_Report_FIXED.xlsx]Study Export'!AT$3,"")</f>
        <v/>
      </c>
      <c r="AU22" s="47">
        <f>IFERROR('[P017_LingoCGM_CGM_Report_FIXED.xlsx]Study Export'!AU$3,"")</f>
        <v/>
      </c>
      <c r="AV22" s="47">
        <f>IFERROR('[P017_LingoCGM_CGM_Report_FIXED.xlsx]Study Export'!AV$3,"")</f>
        <v/>
      </c>
      <c r="AW22" s="56">
        <f>IFERROR('[P017_LingoCGM_CGM_Report_FIXED.xlsx]Study Export'!AW$3,"")</f>
        <v/>
      </c>
      <c r="AX22" s="56">
        <f>IFERROR('[P017_LingoCGM_CGM_Report_FIXED.xlsx]Study Export'!AX$3,"")</f>
        <v/>
      </c>
      <c r="AY22" s="56">
        <f>IFERROR('[P017_LingoCGM_CGM_Report_FIXED.xlsx]Study Export'!AY$3,"")</f>
        <v/>
      </c>
      <c r="AZ22" s="47">
        <f>IFERROR('[P017_LingoCGM_CGM_Report_FIXED.xlsx]Study Export'!AZ$3,"")</f>
        <v/>
      </c>
      <c r="BA22" s="47">
        <f>IFERROR('[P017_LingoCGM_CGM_Report_FIXED.xlsx]Study Export'!BA$3,"")</f>
        <v/>
      </c>
      <c r="BB22" s="47">
        <f>IFERROR('[P017_LingoCGM_CGM_Report_FIXED.xlsx]Study Export'!BB$3,"")</f>
        <v/>
      </c>
      <c r="BC22" s="27">
        <f>IFERROR('[P017_LingoCGM_CGM_Report_FIXED.xlsx]Study Export'!BC$3,"")</f>
        <v/>
      </c>
      <c r="BD22" s="27">
        <f>IFERROR('[P017_LingoCGM_CGM_Report_FIXED.xlsx]Study Export'!BD$3,"")</f>
        <v/>
      </c>
      <c r="BE22" s="27">
        <f>IFERROR('[P017_LingoCGM_CGM_Report_FIXED.xlsx]Study Export'!BE$3,"")</f>
        <v/>
      </c>
      <c r="BF22" s="47">
        <f>IFERROR('[P017_LingoCGM_CGM_Report_FIXED.xlsx]Study Export'!BF$3,"")</f>
        <v/>
      </c>
      <c r="BG22" s="47">
        <f>IFERROR('[P017_LingoCGM_CGM_Report_FIXED.xlsx]Study Export'!BG$3,"")</f>
        <v/>
      </c>
      <c r="BH22" s="47">
        <f>IFERROR('[P017_LingoCGM_CGM_Report_FIXED.xlsx]Study Export'!BH$3,"")</f>
        <v/>
      </c>
      <c r="BI22" s="47">
        <f>IFERROR('[P017_LingoCGM_CGM_Report_FIXED.xlsx]Study Export'!BI$3,"")</f>
        <v/>
      </c>
      <c r="BJ22" s="47">
        <f>IFERROR('[P017_LingoCGM_CGM_Report_FIXED.xlsx]Study Export'!BJ$3,"")</f>
        <v/>
      </c>
      <c r="BK22" s="47">
        <f>IFERROR('[P017_LingoCGM_CGM_Report_FIXED.xlsx]Study Export'!BK$3,"")</f>
        <v/>
      </c>
      <c r="BL22" s="47">
        <f>IFERROR('[P017_LingoCGM_CGM_Report_FIXED.xlsx]Study Export'!BL$3,"")</f>
        <v/>
      </c>
      <c r="BM22" s="47">
        <f>IFERROR('[P017_LingoCGM_CGM_Report_FIXED.xlsx]Study Export'!BM$3,"")</f>
        <v/>
      </c>
      <c r="BN22" s="47">
        <f>IFERROR('[P017_LingoCGM_CGM_Report_FIXED.xlsx]Study Export'!BN$3,"")</f>
        <v/>
      </c>
      <c r="BO22" s="47">
        <f>IFERROR('[P017_LingoCGM_CGM_Report_FIXED.xlsx]Study Export'!BO$3,"")</f>
        <v/>
      </c>
      <c r="BP22" s="47">
        <f>IFERROR('[P017_LingoCGM_CGM_Report_FIXED.xlsx]Study Export'!BP$3,"")</f>
        <v/>
      </c>
      <c r="BQ22" s="47">
        <f>IFERROR('[P017_LingoCGM_CGM_Report_FIXED.xlsx]Study Export'!BQ$3,"")</f>
        <v/>
      </c>
      <c r="BR22" s="47">
        <f>IFERROR('[P017_LingoCGM_CGM_Report_FIXED.xlsx]Study Export'!BR$3,"")</f>
        <v/>
      </c>
      <c r="BS22" s="47">
        <f>IFERROR('[P017_LingoCGM_CGM_Report_FIXED.xlsx]Study Export'!BS$3,"")</f>
        <v/>
      </c>
      <c r="BT22" s="47">
        <f>IFERROR('[P017_LingoCGM_CGM_Report_FIXED.xlsx]Study Export'!BT$3,"")</f>
        <v/>
      </c>
      <c r="BU22" s="47">
        <f>IFERROR('[P017_LingoCGM_CGM_Report_FIXED.xlsx]Study Export'!BU$3,"")</f>
        <v/>
      </c>
      <c r="BV22" s="47">
        <f>IFERROR('[P017_LingoCGM_CGM_Report_FIXED.xlsx]Study Export'!BV$3,"")</f>
        <v/>
      </c>
      <c r="BW22" s="47">
        <f>IFERROR('[P017_LingoCGM_CGM_Report_FIXED.xlsx]Study Export'!BW$3,"")</f>
        <v/>
      </c>
      <c r="BX22">
        <f>IFERROR('[P017_LingoCGM_CGM_Report_FIXED.xlsx]Study Export'!BX$3,"")</f>
        <v/>
      </c>
      <c r="BY22" s="57">
        <f>IFERROR('[P017_LingoCGM_CGM_Report_FIXED.xlsx]Study Export'!BY$3,"")</f>
        <v/>
      </c>
      <c r="BZ22" s="57">
        <f>IFERROR('[P017_LingoCGM_CGM_Report_FIXED.xlsx]Study Export'!BZ$3,"")</f>
        <v/>
      </c>
      <c r="CA22" s="57">
        <f>IFERROR('[P017_LingoCGM_CGM_Report_FIXED.xlsx]Study Export'!CA$3,"")</f>
        <v/>
      </c>
      <c r="CB22" s="58">
        <f>IFERROR('[P017_LingoCGM_CGM_Report_FIXED.xlsx]Study Export'!CB$3,"")</f>
        <v/>
      </c>
      <c r="CC22" s="59">
        <f>IFERROR('[P017_LingoCGM_CGM_Report_FIXED.xlsx]Study Export'!CC$3,"")</f>
        <v/>
      </c>
      <c r="CD22">
        <f>IFERROR('[P017_LingoCGM_CGM_Report_FIXED.xlsx]Study Export'!CD$3,"")</f>
        <v/>
      </c>
      <c r="CE22">
        <f>IFERROR('[P017_LingoCGM_CGM_Report_FIXED.xlsx]Study Export'!CE$3,"")</f>
        <v/>
      </c>
      <c r="CF22" s="60">
        <f>IFERROR('[P017_LingoCGM_CGM_Report_FIXED.xlsx]Study Export'!CF$3,"")</f>
        <v/>
      </c>
      <c r="CG22" s="60">
        <f>IFERROR('[P017_LingoCGM_CGM_Report_FIXED.xlsx]Study Export'!CG$3,"")</f>
        <v/>
      </c>
      <c r="CH22">
        <f>IFERROR('[P017_LingoCGM_CGM_Report_FIXED.xlsx]Study Export'!CH$3,"")</f>
        <v/>
      </c>
    </row>
    <row r="23">
      <c r="A23" s="24">
        <f>IFERROR('[P018_LingoCGM_CGM_Report_FIXED.xlsx]Study Export'!A$3,"")</f>
        <v/>
      </c>
      <c r="B23" s="24">
        <f>IFERROR('[P018_LingoCGM_CGM_Report_FIXED.xlsx]Study Export'!B$3,"")</f>
        <v/>
      </c>
      <c r="C23" s="24">
        <f>IFERROR('[P018_LingoCGM_CGM_Report_FIXED.xlsx]Study Export'!C$3,"")</f>
        <v/>
      </c>
      <c r="D23" s="24">
        <f>IFERROR('[P018_LingoCGM_CGM_Report_FIXED.xlsx]Study Export'!D$3,"")</f>
        <v/>
      </c>
      <c r="E23" s="55">
        <f>IFERROR('[P018_LingoCGM_CGM_Report_FIXED.xlsx]Study Export'!E$3,"")</f>
        <v/>
      </c>
      <c r="F23" s="26">
        <f>IFERROR('[P018_LingoCGM_CGM_Report_FIXED.xlsx]Study Export'!F$3,"")</f>
        <v/>
      </c>
      <c r="G23" s="26">
        <f>IFERROR('[P018_LingoCGM_CGM_Report_FIXED.xlsx]Study Export'!G$3,"")</f>
        <v/>
      </c>
      <c r="H23" s="47">
        <f>IFERROR('[P018_LingoCGM_CGM_Report_FIXED.xlsx]Study Export'!H$3,"")</f>
        <v/>
      </c>
      <c r="I23" s="26">
        <f>IFERROR('[P018_LingoCGM_CGM_Report_FIXED.xlsx]Study Export'!I$3,"")</f>
        <v/>
      </c>
      <c r="J23" s="26">
        <f>IFERROR('[P018_LingoCGM_CGM_Report_FIXED.xlsx]Study Export'!J$3,"")</f>
        <v/>
      </c>
      <c r="K23" s="47">
        <f>IFERROR('[P018_LingoCGM_CGM_Report_FIXED.xlsx]Study Export'!K$3,"")</f>
        <v/>
      </c>
      <c r="L23" s="47">
        <f>IFERROR('[P018_LingoCGM_CGM_Report_FIXED.xlsx]Study Export'!L$3,"")</f>
        <v/>
      </c>
      <c r="M23" s="47">
        <f>IFERROR('[P018_LingoCGM_CGM_Report_FIXED.xlsx]Study Export'!M$3,"")</f>
        <v/>
      </c>
      <c r="N23" s="47">
        <f>IFERROR('[P018_LingoCGM_CGM_Report_FIXED.xlsx]Study Export'!N$3,"")</f>
        <v/>
      </c>
      <c r="O23" s="47">
        <f>IFERROR('[P018_LingoCGM_CGM_Report_FIXED.xlsx]Study Export'!O$3,"")</f>
        <v/>
      </c>
      <c r="P23" s="27">
        <f>IFERROR('[P018_LingoCGM_CGM_Report_FIXED.xlsx]Study Export'!P$3,"")</f>
        <v/>
      </c>
      <c r="Q23" s="27">
        <f>IFERROR('[P018_LingoCGM_CGM_Report_FIXED.xlsx]Study Export'!Q$3,"")</f>
        <v/>
      </c>
      <c r="R23" s="27">
        <f>IFERROR('[P018_LingoCGM_CGM_Report_FIXED.xlsx]Study Export'!R$3,"")</f>
        <v/>
      </c>
      <c r="S23" s="56">
        <f>IFERROR('[P018_LingoCGM_CGM_Report_FIXED.xlsx]Study Export'!S$3,"")</f>
        <v/>
      </c>
      <c r="T23" s="56">
        <f>IFERROR('[P018_LingoCGM_CGM_Report_FIXED.xlsx]Study Export'!T$3,"")</f>
        <v/>
      </c>
      <c r="U23" s="56">
        <f>IFERROR('[P018_LingoCGM_CGM_Report_FIXED.xlsx]Study Export'!U$3,"")</f>
        <v/>
      </c>
      <c r="V23" s="56">
        <f>IFERROR('[P018_LingoCGM_CGM_Report_FIXED.xlsx]Study Export'!V$3,"")</f>
        <v/>
      </c>
      <c r="W23" s="56">
        <f>IFERROR('[P018_LingoCGM_CGM_Report_FIXED.xlsx]Study Export'!W$3,"")</f>
        <v/>
      </c>
      <c r="X23" s="56">
        <f>IFERROR('[P018_LingoCGM_CGM_Report_FIXED.xlsx]Study Export'!X$3,"")</f>
        <v/>
      </c>
      <c r="Y23" s="56">
        <f>IFERROR('[P018_LingoCGM_CGM_Report_FIXED.xlsx]Study Export'!Y$3,"")</f>
        <v/>
      </c>
      <c r="Z23" s="56">
        <f>IFERROR('[P018_LingoCGM_CGM_Report_FIXED.xlsx]Study Export'!Z$3,"")</f>
        <v/>
      </c>
      <c r="AA23" s="56">
        <f>IFERROR('[P018_LingoCGM_CGM_Report_FIXED.xlsx]Study Export'!AA$3,"")</f>
        <v/>
      </c>
      <c r="AB23" s="56">
        <f>IFERROR('[P018_LingoCGM_CGM_Report_FIXED.xlsx]Study Export'!AB$3,"")</f>
        <v/>
      </c>
      <c r="AC23" s="56">
        <f>IFERROR('[P018_LingoCGM_CGM_Report_FIXED.xlsx]Study Export'!AC$3,"")</f>
        <v/>
      </c>
      <c r="AD23" s="56">
        <f>IFERROR('[P018_LingoCGM_CGM_Report_FIXED.xlsx]Study Export'!AD$3,"")</f>
        <v/>
      </c>
      <c r="AE23" s="56">
        <f>IFERROR('[P018_LingoCGM_CGM_Report_FIXED.xlsx]Study Export'!AE$3,"")</f>
        <v/>
      </c>
      <c r="AF23" s="56">
        <f>IFERROR('[P018_LingoCGM_CGM_Report_FIXED.xlsx]Study Export'!AF$3,"")</f>
        <v/>
      </c>
      <c r="AG23" s="56">
        <f>IFERROR('[P018_LingoCGM_CGM_Report_FIXED.xlsx]Study Export'!AG$3,"")</f>
        <v/>
      </c>
      <c r="AH23" s="27">
        <f>IFERROR('[P018_LingoCGM_CGM_Report_FIXED.xlsx]Study Export'!AH$3,"")</f>
        <v/>
      </c>
      <c r="AI23" s="27">
        <f>IFERROR('[P018_LingoCGM_CGM_Report_FIXED.xlsx]Study Export'!AI$3,"")</f>
        <v/>
      </c>
      <c r="AJ23" s="27">
        <f>IFERROR('[P018_LingoCGM_CGM_Report_FIXED.xlsx]Study Export'!AJ$3,"")</f>
        <v/>
      </c>
      <c r="AK23" s="27">
        <f>IFERROR('[P018_LingoCGM_CGM_Report_FIXED.xlsx]Study Export'!AK$3,"")</f>
        <v/>
      </c>
      <c r="AL23" s="27">
        <f>IFERROR('[P018_LingoCGM_CGM_Report_FIXED.xlsx]Study Export'!AL$3,"")</f>
        <v/>
      </c>
      <c r="AM23" s="27">
        <f>IFERROR('[P018_LingoCGM_CGM_Report_FIXED.xlsx]Study Export'!AM$3,"")</f>
        <v/>
      </c>
      <c r="AN23" s="27">
        <f>IFERROR('[P018_LingoCGM_CGM_Report_FIXED.xlsx]Study Export'!AN$3,"")</f>
        <v/>
      </c>
      <c r="AO23" s="27">
        <f>IFERROR('[P018_LingoCGM_CGM_Report_FIXED.xlsx]Study Export'!AO$3,"")</f>
        <v/>
      </c>
      <c r="AP23" s="27">
        <f>IFERROR('[P018_LingoCGM_CGM_Report_FIXED.xlsx]Study Export'!AP$3,"")</f>
        <v/>
      </c>
      <c r="AQ23" s="27">
        <f>IFERROR('[P018_LingoCGM_CGM_Report_FIXED.xlsx]Study Export'!AQ$3,"")</f>
        <v/>
      </c>
      <c r="AR23" s="27">
        <f>IFERROR('[P018_LingoCGM_CGM_Report_FIXED.xlsx]Study Export'!AR$3,"")</f>
        <v/>
      </c>
      <c r="AS23" s="27">
        <f>IFERROR('[P018_LingoCGM_CGM_Report_FIXED.xlsx]Study Export'!AS$3,"")</f>
        <v/>
      </c>
      <c r="AT23" s="47">
        <f>IFERROR('[P018_LingoCGM_CGM_Report_FIXED.xlsx]Study Export'!AT$3,"")</f>
        <v/>
      </c>
      <c r="AU23" s="47">
        <f>IFERROR('[P018_LingoCGM_CGM_Report_FIXED.xlsx]Study Export'!AU$3,"")</f>
        <v/>
      </c>
      <c r="AV23" s="47">
        <f>IFERROR('[P018_LingoCGM_CGM_Report_FIXED.xlsx]Study Export'!AV$3,"")</f>
        <v/>
      </c>
      <c r="AW23" s="56">
        <f>IFERROR('[P018_LingoCGM_CGM_Report_FIXED.xlsx]Study Export'!AW$3,"")</f>
        <v/>
      </c>
      <c r="AX23" s="56">
        <f>IFERROR('[P018_LingoCGM_CGM_Report_FIXED.xlsx]Study Export'!AX$3,"")</f>
        <v/>
      </c>
      <c r="AY23" s="56">
        <f>IFERROR('[P018_LingoCGM_CGM_Report_FIXED.xlsx]Study Export'!AY$3,"")</f>
        <v/>
      </c>
      <c r="AZ23" s="47">
        <f>IFERROR('[P018_LingoCGM_CGM_Report_FIXED.xlsx]Study Export'!AZ$3,"")</f>
        <v/>
      </c>
      <c r="BA23" s="47">
        <f>IFERROR('[P018_LingoCGM_CGM_Report_FIXED.xlsx]Study Export'!BA$3,"")</f>
        <v/>
      </c>
      <c r="BB23" s="47">
        <f>IFERROR('[P018_LingoCGM_CGM_Report_FIXED.xlsx]Study Export'!BB$3,"")</f>
        <v/>
      </c>
      <c r="BC23" s="27">
        <f>IFERROR('[P018_LingoCGM_CGM_Report_FIXED.xlsx]Study Export'!BC$3,"")</f>
        <v/>
      </c>
      <c r="BD23" s="27">
        <f>IFERROR('[P018_LingoCGM_CGM_Report_FIXED.xlsx]Study Export'!BD$3,"")</f>
        <v/>
      </c>
      <c r="BE23" s="27">
        <f>IFERROR('[P018_LingoCGM_CGM_Report_FIXED.xlsx]Study Export'!BE$3,"")</f>
        <v/>
      </c>
      <c r="BF23" s="47">
        <f>IFERROR('[P018_LingoCGM_CGM_Report_FIXED.xlsx]Study Export'!BF$3,"")</f>
        <v/>
      </c>
      <c r="BG23" s="47">
        <f>IFERROR('[P018_LingoCGM_CGM_Report_FIXED.xlsx]Study Export'!BG$3,"")</f>
        <v/>
      </c>
      <c r="BH23" s="47">
        <f>IFERROR('[P018_LingoCGM_CGM_Report_FIXED.xlsx]Study Export'!BH$3,"")</f>
        <v/>
      </c>
      <c r="BI23" s="47">
        <f>IFERROR('[P018_LingoCGM_CGM_Report_FIXED.xlsx]Study Export'!BI$3,"")</f>
        <v/>
      </c>
      <c r="BJ23" s="47">
        <f>IFERROR('[P018_LingoCGM_CGM_Report_FIXED.xlsx]Study Export'!BJ$3,"")</f>
        <v/>
      </c>
      <c r="BK23" s="47">
        <f>IFERROR('[P018_LingoCGM_CGM_Report_FIXED.xlsx]Study Export'!BK$3,"")</f>
        <v/>
      </c>
      <c r="BL23" s="47">
        <f>IFERROR('[P018_LingoCGM_CGM_Report_FIXED.xlsx]Study Export'!BL$3,"")</f>
        <v/>
      </c>
      <c r="BM23" s="47">
        <f>IFERROR('[P018_LingoCGM_CGM_Report_FIXED.xlsx]Study Export'!BM$3,"")</f>
        <v/>
      </c>
      <c r="BN23" s="47">
        <f>IFERROR('[P018_LingoCGM_CGM_Report_FIXED.xlsx]Study Export'!BN$3,"")</f>
        <v/>
      </c>
      <c r="BO23" s="47">
        <f>IFERROR('[P018_LingoCGM_CGM_Report_FIXED.xlsx]Study Export'!BO$3,"")</f>
        <v/>
      </c>
      <c r="BP23" s="47">
        <f>IFERROR('[P018_LingoCGM_CGM_Report_FIXED.xlsx]Study Export'!BP$3,"")</f>
        <v/>
      </c>
      <c r="BQ23" s="47">
        <f>IFERROR('[P018_LingoCGM_CGM_Report_FIXED.xlsx]Study Export'!BQ$3,"")</f>
        <v/>
      </c>
      <c r="BR23" s="47">
        <f>IFERROR('[P018_LingoCGM_CGM_Report_FIXED.xlsx]Study Export'!BR$3,"")</f>
        <v/>
      </c>
      <c r="BS23" s="47">
        <f>IFERROR('[P018_LingoCGM_CGM_Report_FIXED.xlsx]Study Export'!BS$3,"")</f>
        <v/>
      </c>
      <c r="BT23" s="47">
        <f>IFERROR('[P018_LingoCGM_CGM_Report_FIXED.xlsx]Study Export'!BT$3,"")</f>
        <v/>
      </c>
      <c r="BU23" s="47">
        <f>IFERROR('[P018_LingoCGM_CGM_Report_FIXED.xlsx]Study Export'!BU$3,"")</f>
        <v/>
      </c>
      <c r="BV23" s="47">
        <f>IFERROR('[P018_LingoCGM_CGM_Report_FIXED.xlsx]Study Export'!BV$3,"")</f>
        <v/>
      </c>
      <c r="BW23" s="47">
        <f>IFERROR('[P018_LingoCGM_CGM_Report_FIXED.xlsx]Study Export'!BW$3,"")</f>
        <v/>
      </c>
      <c r="BX23">
        <f>IFERROR('[P018_LingoCGM_CGM_Report_FIXED.xlsx]Study Export'!BX$3,"")</f>
        <v/>
      </c>
      <c r="BY23" s="57">
        <f>IFERROR('[P018_LingoCGM_CGM_Report_FIXED.xlsx]Study Export'!BY$3,"")</f>
        <v/>
      </c>
      <c r="BZ23" s="57">
        <f>IFERROR('[P018_LingoCGM_CGM_Report_FIXED.xlsx]Study Export'!BZ$3,"")</f>
        <v/>
      </c>
      <c r="CA23" s="57">
        <f>IFERROR('[P018_LingoCGM_CGM_Report_FIXED.xlsx]Study Export'!CA$3,"")</f>
        <v/>
      </c>
      <c r="CB23" s="58">
        <f>IFERROR('[P018_LingoCGM_CGM_Report_FIXED.xlsx]Study Export'!CB$3,"")</f>
        <v/>
      </c>
      <c r="CC23" s="59">
        <f>IFERROR('[P018_LingoCGM_CGM_Report_FIXED.xlsx]Study Export'!CC$3,"")</f>
        <v/>
      </c>
      <c r="CD23">
        <f>IFERROR('[P018_LingoCGM_CGM_Report_FIXED.xlsx]Study Export'!CD$3,"")</f>
        <v/>
      </c>
      <c r="CE23">
        <f>IFERROR('[P018_LingoCGM_CGM_Report_FIXED.xlsx]Study Export'!CE$3,"")</f>
        <v/>
      </c>
      <c r="CF23" s="60">
        <f>IFERROR('[P018_LingoCGM_CGM_Report_FIXED.xlsx]Study Export'!CF$3,"")</f>
        <v/>
      </c>
      <c r="CG23" s="60">
        <f>IFERROR('[P018_LingoCGM_CGM_Report_FIXED.xlsx]Study Export'!CG$3,"")</f>
        <v/>
      </c>
      <c r="CH23">
        <f>IFERROR('[P018_LingoCGM_CGM_Report_FIXED.xlsx]Study Export'!CH$3,"")</f>
        <v/>
      </c>
    </row>
    <row r="24">
      <c r="A24" s="24">
        <f>IFERROR('[P019_LingoCGM_CGM_Report_FIXED.xlsx]Study Export'!A$3,"")</f>
        <v/>
      </c>
      <c r="B24" s="24">
        <f>IFERROR('[P019_LingoCGM_CGM_Report_FIXED.xlsx]Study Export'!B$3,"")</f>
        <v/>
      </c>
      <c r="C24" s="24">
        <f>IFERROR('[P019_LingoCGM_CGM_Report_FIXED.xlsx]Study Export'!C$3,"")</f>
        <v/>
      </c>
      <c r="D24" s="24">
        <f>IFERROR('[P019_LingoCGM_CGM_Report_FIXED.xlsx]Study Export'!D$3,"")</f>
        <v/>
      </c>
      <c r="E24" s="55">
        <f>IFERROR('[P019_LingoCGM_CGM_Report_FIXED.xlsx]Study Export'!E$3,"")</f>
        <v/>
      </c>
      <c r="F24" s="26">
        <f>IFERROR('[P019_LingoCGM_CGM_Report_FIXED.xlsx]Study Export'!F$3,"")</f>
        <v/>
      </c>
      <c r="G24" s="26">
        <f>IFERROR('[P019_LingoCGM_CGM_Report_FIXED.xlsx]Study Export'!G$3,"")</f>
        <v/>
      </c>
      <c r="H24" s="47">
        <f>IFERROR('[P019_LingoCGM_CGM_Report_FIXED.xlsx]Study Export'!H$3,"")</f>
        <v/>
      </c>
      <c r="I24" s="26">
        <f>IFERROR('[P019_LingoCGM_CGM_Report_FIXED.xlsx]Study Export'!I$3,"")</f>
        <v/>
      </c>
      <c r="J24" s="26">
        <f>IFERROR('[P019_LingoCGM_CGM_Report_FIXED.xlsx]Study Export'!J$3,"")</f>
        <v/>
      </c>
      <c r="K24" s="47">
        <f>IFERROR('[P019_LingoCGM_CGM_Report_FIXED.xlsx]Study Export'!K$3,"")</f>
        <v/>
      </c>
      <c r="L24" s="47">
        <f>IFERROR('[P019_LingoCGM_CGM_Report_FIXED.xlsx]Study Export'!L$3,"")</f>
        <v/>
      </c>
      <c r="M24" s="47">
        <f>IFERROR('[P019_LingoCGM_CGM_Report_FIXED.xlsx]Study Export'!M$3,"")</f>
        <v/>
      </c>
      <c r="N24" s="47">
        <f>IFERROR('[P019_LingoCGM_CGM_Report_FIXED.xlsx]Study Export'!N$3,"")</f>
        <v/>
      </c>
      <c r="O24" s="47">
        <f>IFERROR('[P019_LingoCGM_CGM_Report_FIXED.xlsx]Study Export'!O$3,"")</f>
        <v/>
      </c>
      <c r="P24" s="27">
        <f>IFERROR('[P019_LingoCGM_CGM_Report_FIXED.xlsx]Study Export'!P$3,"")</f>
        <v/>
      </c>
      <c r="Q24" s="27">
        <f>IFERROR('[P019_LingoCGM_CGM_Report_FIXED.xlsx]Study Export'!Q$3,"")</f>
        <v/>
      </c>
      <c r="R24" s="27">
        <f>IFERROR('[P019_LingoCGM_CGM_Report_FIXED.xlsx]Study Export'!R$3,"")</f>
        <v/>
      </c>
      <c r="S24" s="56">
        <f>IFERROR('[P019_LingoCGM_CGM_Report_FIXED.xlsx]Study Export'!S$3,"")</f>
        <v/>
      </c>
      <c r="T24" s="56">
        <f>IFERROR('[P019_LingoCGM_CGM_Report_FIXED.xlsx]Study Export'!T$3,"")</f>
        <v/>
      </c>
      <c r="U24" s="56">
        <f>IFERROR('[P019_LingoCGM_CGM_Report_FIXED.xlsx]Study Export'!U$3,"")</f>
        <v/>
      </c>
      <c r="V24" s="56">
        <f>IFERROR('[P019_LingoCGM_CGM_Report_FIXED.xlsx]Study Export'!V$3,"")</f>
        <v/>
      </c>
      <c r="W24" s="56">
        <f>IFERROR('[P019_LingoCGM_CGM_Report_FIXED.xlsx]Study Export'!W$3,"")</f>
        <v/>
      </c>
      <c r="X24" s="56">
        <f>IFERROR('[P019_LingoCGM_CGM_Report_FIXED.xlsx]Study Export'!X$3,"")</f>
        <v/>
      </c>
      <c r="Y24" s="56">
        <f>IFERROR('[P019_LingoCGM_CGM_Report_FIXED.xlsx]Study Export'!Y$3,"")</f>
        <v/>
      </c>
      <c r="Z24" s="56">
        <f>IFERROR('[P019_LingoCGM_CGM_Report_FIXED.xlsx]Study Export'!Z$3,"")</f>
        <v/>
      </c>
      <c r="AA24" s="56">
        <f>IFERROR('[P019_LingoCGM_CGM_Report_FIXED.xlsx]Study Export'!AA$3,"")</f>
        <v/>
      </c>
      <c r="AB24" s="56">
        <f>IFERROR('[P019_LingoCGM_CGM_Report_FIXED.xlsx]Study Export'!AB$3,"")</f>
        <v/>
      </c>
      <c r="AC24" s="56">
        <f>IFERROR('[P019_LingoCGM_CGM_Report_FIXED.xlsx]Study Export'!AC$3,"")</f>
        <v/>
      </c>
      <c r="AD24" s="56">
        <f>IFERROR('[P019_LingoCGM_CGM_Report_FIXED.xlsx]Study Export'!AD$3,"")</f>
        <v/>
      </c>
      <c r="AE24" s="56">
        <f>IFERROR('[P019_LingoCGM_CGM_Report_FIXED.xlsx]Study Export'!AE$3,"")</f>
        <v/>
      </c>
      <c r="AF24" s="56">
        <f>IFERROR('[P019_LingoCGM_CGM_Report_FIXED.xlsx]Study Export'!AF$3,"")</f>
        <v/>
      </c>
      <c r="AG24" s="56">
        <f>IFERROR('[P019_LingoCGM_CGM_Report_FIXED.xlsx]Study Export'!AG$3,"")</f>
        <v/>
      </c>
      <c r="AH24" s="27">
        <f>IFERROR('[P019_LingoCGM_CGM_Report_FIXED.xlsx]Study Export'!AH$3,"")</f>
        <v/>
      </c>
      <c r="AI24" s="27">
        <f>IFERROR('[P019_LingoCGM_CGM_Report_FIXED.xlsx]Study Export'!AI$3,"")</f>
        <v/>
      </c>
      <c r="AJ24" s="27">
        <f>IFERROR('[P019_LingoCGM_CGM_Report_FIXED.xlsx]Study Export'!AJ$3,"")</f>
        <v/>
      </c>
      <c r="AK24" s="27">
        <f>IFERROR('[P019_LingoCGM_CGM_Report_FIXED.xlsx]Study Export'!AK$3,"")</f>
        <v/>
      </c>
      <c r="AL24" s="27">
        <f>IFERROR('[P019_LingoCGM_CGM_Report_FIXED.xlsx]Study Export'!AL$3,"")</f>
        <v/>
      </c>
      <c r="AM24" s="27">
        <f>IFERROR('[P019_LingoCGM_CGM_Report_FIXED.xlsx]Study Export'!AM$3,"")</f>
        <v/>
      </c>
      <c r="AN24" s="27">
        <f>IFERROR('[P019_LingoCGM_CGM_Report_FIXED.xlsx]Study Export'!AN$3,"")</f>
        <v/>
      </c>
      <c r="AO24" s="27">
        <f>IFERROR('[P019_LingoCGM_CGM_Report_FIXED.xlsx]Study Export'!AO$3,"")</f>
        <v/>
      </c>
      <c r="AP24" s="27">
        <f>IFERROR('[P019_LingoCGM_CGM_Report_FIXED.xlsx]Study Export'!AP$3,"")</f>
        <v/>
      </c>
      <c r="AQ24" s="27">
        <f>IFERROR('[P019_LingoCGM_CGM_Report_FIXED.xlsx]Study Export'!AQ$3,"")</f>
        <v/>
      </c>
      <c r="AR24" s="27">
        <f>IFERROR('[P019_LingoCGM_CGM_Report_FIXED.xlsx]Study Export'!AR$3,"")</f>
        <v/>
      </c>
      <c r="AS24" s="27">
        <f>IFERROR('[P019_LingoCGM_CGM_Report_FIXED.xlsx]Study Export'!AS$3,"")</f>
        <v/>
      </c>
      <c r="AT24" s="47">
        <f>IFERROR('[P019_LingoCGM_CGM_Report_FIXED.xlsx]Study Export'!AT$3,"")</f>
        <v/>
      </c>
      <c r="AU24" s="47">
        <f>IFERROR('[P019_LingoCGM_CGM_Report_FIXED.xlsx]Study Export'!AU$3,"")</f>
        <v/>
      </c>
      <c r="AV24" s="47">
        <f>IFERROR('[P019_LingoCGM_CGM_Report_FIXED.xlsx]Study Export'!AV$3,"")</f>
        <v/>
      </c>
      <c r="AW24" s="56">
        <f>IFERROR('[P019_LingoCGM_CGM_Report_FIXED.xlsx]Study Export'!AW$3,"")</f>
        <v/>
      </c>
      <c r="AX24" s="56">
        <f>IFERROR('[P019_LingoCGM_CGM_Report_FIXED.xlsx]Study Export'!AX$3,"")</f>
        <v/>
      </c>
      <c r="AY24" s="56">
        <f>IFERROR('[P019_LingoCGM_CGM_Report_FIXED.xlsx]Study Export'!AY$3,"")</f>
        <v/>
      </c>
      <c r="AZ24" s="47">
        <f>IFERROR('[P019_LingoCGM_CGM_Report_FIXED.xlsx]Study Export'!AZ$3,"")</f>
        <v/>
      </c>
      <c r="BA24" s="47">
        <f>IFERROR('[P019_LingoCGM_CGM_Report_FIXED.xlsx]Study Export'!BA$3,"")</f>
        <v/>
      </c>
      <c r="BB24" s="47">
        <f>IFERROR('[P019_LingoCGM_CGM_Report_FIXED.xlsx]Study Export'!BB$3,"")</f>
        <v/>
      </c>
      <c r="BC24" s="27">
        <f>IFERROR('[P019_LingoCGM_CGM_Report_FIXED.xlsx]Study Export'!BC$3,"")</f>
        <v/>
      </c>
      <c r="BD24" s="27">
        <f>IFERROR('[P019_LingoCGM_CGM_Report_FIXED.xlsx]Study Export'!BD$3,"")</f>
        <v/>
      </c>
      <c r="BE24" s="27">
        <f>IFERROR('[P019_LingoCGM_CGM_Report_FIXED.xlsx]Study Export'!BE$3,"")</f>
        <v/>
      </c>
      <c r="BF24" s="47">
        <f>IFERROR('[P019_LingoCGM_CGM_Report_FIXED.xlsx]Study Export'!BF$3,"")</f>
        <v/>
      </c>
      <c r="BG24" s="47">
        <f>IFERROR('[P019_LingoCGM_CGM_Report_FIXED.xlsx]Study Export'!BG$3,"")</f>
        <v/>
      </c>
      <c r="BH24" s="47">
        <f>IFERROR('[P019_LingoCGM_CGM_Report_FIXED.xlsx]Study Export'!BH$3,"")</f>
        <v/>
      </c>
      <c r="BI24" s="47">
        <f>IFERROR('[P019_LingoCGM_CGM_Report_FIXED.xlsx]Study Export'!BI$3,"")</f>
        <v/>
      </c>
      <c r="BJ24" s="47">
        <f>IFERROR('[P019_LingoCGM_CGM_Report_FIXED.xlsx]Study Export'!BJ$3,"")</f>
        <v/>
      </c>
      <c r="BK24" s="47">
        <f>IFERROR('[P019_LingoCGM_CGM_Report_FIXED.xlsx]Study Export'!BK$3,"")</f>
        <v/>
      </c>
      <c r="BL24" s="47">
        <f>IFERROR('[P019_LingoCGM_CGM_Report_FIXED.xlsx]Study Export'!BL$3,"")</f>
        <v/>
      </c>
      <c r="BM24" s="47">
        <f>IFERROR('[P019_LingoCGM_CGM_Report_FIXED.xlsx]Study Export'!BM$3,"")</f>
        <v/>
      </c>
      <c r="BN24" s="47">
        <f>IFERROR('[P019_LingoCGM_CGM_Report_FIXED.xlsx]Study Export'!BN$3,"")</f>
        <v/>
      </c>
      <c r="BO24" s="47">
        <f>IFERROR('[P019_LingoCGM_CGM_Report_FIXED.xlsx]Study Export'!BO$3,"")</f>
        <v/>
      </c>
      <c r="BP24" s="47">
        <f>IFERROR('[P019_LingoCGM_CGM_Report_FIXED.xlsx]Study Export'!BP$3,"")</f>
        <v/>
      </c>
      <c r="BQ24" s="47">
        <f>IFERROR('[P019_LingoCGM_CGM_Report_FIXED.xlsx]Study Export'!BQ$3,"")</f>
        <v/>
      </c>
      <c r="BR24" s="47">
        <f>IFERROR('[P019_LingoCGM_CGM_Report_FIXED.xlsx]Study Export'!BR$3,"")</f>
        <v/>
      </c>
      <c r="BS24" s="47">
        <f>IFERROR('[P019_LingoCGM_CGM_Report_FIXED.xlsx]Study Export'!BS$3,"")</f>
        <v/>
      </c>
      <c r="BT24" s="47">
        <f>IFERROR('[P019_LingoCGM_CGM_Report_FIXED.xlsx]Study Export'!BT$3,"")</f>
        <v/>
      </c>
      <c r="BU24" s="47">
        <f>IFERROR('[P019_LingoCGM_CGM_Report_FIXED.xlsx]Study Export'!BU$3,"")</f>
        <v/>
      </c>
      <c r="BV24" s="47">
        <f>IFERROR('[P019_LingoCGM_CGM_Report_FIXED.xlsx]Study Export'!BV$3,"")</f>
        <v/>
      </c>
      <c r="BW24" s="47">
        <f>IFERROR('[P019_LingoCGM_CGM_Report_FIXED.xlsx]Study Export'!BW$3,"")</f>
        <v/>
      </c>
      <c r="BX24">
        <f>IFERROR('[P019_LingoCGM_CGM_Report_FIXED.xlsx]Study Export'!BX$3,"")</f>
        <v/>
      </c>
      <c r="BY24" s="57">
        <f>IFERROR('[P019_LingoCGM_CGM_Report_FIXED.xlsx]Study Export'!BY$3,"")</f>
        <v/>
      </c>
      <c r="BZ24" s="57">
        <f>IFERROR('[P019_LingoCGM_CGM_Report_FIXED.xlsx]Study Export'!BZ$3,"")</f>
        <v/>
      </c>
      <c r="CA24" s="57">
        <f>IFERROR('[P019_LingoCGM_CGM_Report_FIXED.xlsx]Study Export'!CA$3,"")</f>
        <v/>
      </c>
      <c r="CB24" s="58">
        <f>IFERROR('[P019_LingoCGM_CGM_Report_FIXED.xlsx]Study Export'!CB$3,"")</f>
        <v/>
      </c>
      <c r="CC24" s="59">
        <f>IFERROR('[P019_LingoCGM_CGM_Report_FIXED.xlsx]Study Export'!CC$3,"")</f>
        <v/>
      </c>
      <c r="CD24">
        <f>IFERROR('[P019_LingoCGM_CGM_Report_FIXED.xlsx]Study Export'!CD$3,"")</f>
        <v/>
      </c>
      <c r="CE24">
        <f>IFERROR('[P019_LingoCGM_CGM_Report_FIXED.xlsx]Study Export'!CE$3,"")</f>
        <v/>
      </c>
      <c r="CF24" s="60">
        <f>IFERROR('[P019_LingoCGM_CGM_Report_FIXED.xlsx]Study Export'!CF$3,"")</f>
        <v/>
      </c>
      <c r="CG24" s="60">
        <f>IFERROR('[P019_LingoCGM_CGM_Report_FIXED.xlsx]Study Export'!CG$3,"")</f>
        <v/>
      </c>
      <c r="CH24">
        <f>IFERROR('[P019_LingoCGM_CGM_Report_FIXED.xlsx]Study Export'!CH$3,"")</f>
        <v/>
      </c>
    </row>
    <row r="25">
      <c r="A25" s="24">
        <f>IFERROR('[P020_LingoCGM_CGM_Report_FIXED.xlsx]Study Export'!A$3,"")</f>
        <v/>
      </c>
      <c r="B25" s="24">
        <f>IFERROR('[P020_LingoCGM_CGM_Report_FIXED.xlsx]Study Export'!B$3,"")</f>
        <v/>
      </c>
      <c r="C25" s="24">
        <f>IFERROR('[P020_LingoCGM_CGM_Report_FIXED.xlsx]Study Export'!C$3,"")</f>
        <v/>
      </c>
      <c r="D25" s="24">
        <f>IFERROR('[P020_LingoCGM_CGM_Report_FIXED.xlsx]Study Export'!D$3,"")</f>
        <v/>
      </c>
      <c r="E25" s="55">
        <f>IFERROR('[P020_LingoCGM_CGM_Report_FIXED.xlsx]Study Export'!E$3,"")</f>
        <v/>
      </c>
      <c r="F25" s="26">
        <f>IFERROR('[P020_LingoCGM_CGM_Report_FIXED.xlsx]Study Export'!F$3,"")</f>
        <v/>
      </c>
      <c r="G25" s="26">
        <f>IFERROR('[P020_LingoCGM_CGM_Report_FIXED.xlsx]Study Export'!G$3,"")</f>
        <v/>
      </c>
      <c r="H25" s="47">
        <f>IFERROR('[P020_LingoCGM_CGM_Report_FIXED.xlsx]Study Export'!H$3,"")</f>
        <v/>
      </c>
      <c r="I25" s="26">
        <f>IFERROR('[P020_LingoCGM_CGM_Report_FIXED.xlsx]Study Export'!I$3,"")</f>
        <v/>
      </c>
      <c r="J25" s="26">
        <f>IFERROR('[P020_LingoCGM_CGM_Report_FIXED.xlsx]Study Export'!J$3,"")</f>
        <v/>
      </c>
      <c r="K25" s="47">
        <f>IFERROR('[P020_LingoCGM_CGM_Report_FIXED.xlsx]Study Export'!K$3,"")</f>
        <v/>
      </c>
      <c r="L25" s="47">
        <f>IFERROR('[P020_LingoCGM_CGM_Report_FIXED.xlsx]Study Export'!L$3,"")</f>
        <v/>
      </c>
      <c r="M25" s="47">
        <f>IFERROR('[P020_LingoCGM_CGM_Report_FIXED.xlsx]Study Export'!M$3,"")</f>
        <v/>
      </c>
      <c r="N25" s="47">
        <f>IFERROR('[P020_LingoCGM_CGM_Report_FIXED.xlsx]Study Export'!N$3,"")</f>
        <v/>
      </c>
      <c r="O25" s="47">
        <f>IFERROR('[P020_LingoCGM_CGM_Report_FIXED.xlsx]Study Export'!O$3,"")</f>
        <v/>
      </c>
      <c r="P25" s="27">
        <f>IFERROR('[P020_LingoCGM_CGM_Report_FIXED.xlsx]Study Export'!P$3,"")</f>
        <v/>
      </c>
      <c r="Q25" s="27">
        <f>IFERROR('[P020_LingoCGM_CGM_Report_FIXED.xlsx]Study Export'!Q$3,"")</f>
        <v/>
      </c>
      <c r="R25" s="27">
        <f>IFERROR('[P020_LingoCGM_CGM_Report_FIXED.xlsx]Study Export'!R$3,"")</f>
        <v/>
      </c>
      <c r="S25" s="56">
        <f>IFERROR('[P020_LingoCGM_CGM_Report_FIXED.xlsx]Study Export'!S$3,"")</f>
        <v/>
      </c>
      <c r="T25" s="56">
        <f>IFERROR('[P020_LingoCGM_CGM_Report_FIXED.xlsx]Study Export'!T$3,"")</f>
        <v/>
      </c>
      <c r="U25" s="56">
        <f>IFERROR('[P020_LingoCGM_CGM_Report_FIXED.xlsx]Study Export'!U$3,"")</f>
        <v/>
      </c>
      <c r="V25" s="56">
        <f>IFERROR('[P020_LingoCGM_CGM_Report_FIXED.xlsx]Study Export'!V$3,"")</f>
        <v/>
      </c>
      <c r="W25" s="56">
        <f>IFERROR('[P020_LingoCGM_CGM_Report_FIXED.xlsx]Study Export'!W$3,"")</f>
        <v/>
      </c>
      <c r="X25" s="56">
        <f>IFERROR('[P020_LingoCGM_CGM_Report_FIXED.xlsx]Study Export'!X$3,"")</f>
        <v/>
      </c>
      <c r="Y25" s="56">
        <f>IFERROR('[P020_LingoCGM_CGM_Report_FIXED.xlsx]Study Export'!Y$3,"")</f>
        <v/>
      </c>
      <c r="Z25" s="56">
        <f>IFERROR('[P020_LingoCGM_CGM_Report_FIXED.xlsx]Study Export'!Z$3,"")</f>
        <v/>
      </c>
      <c r="AA25" s="56">
        <f>IFERROR('[P020_LingoCGM_CGM_Report_FIXED.xlsx]Study Export'!AA$3,"")</f>
        <v/>
      </c>
      <c r="AB25" s="56">
        <f>IFERROR('[P020_LingoCGM_CGM_Report_FIXED.xlsx]Study Export'!AB$3,"")</f>
        <v/>
      </c>
      <c r="AC25" s="56">
        <f>IFERROR('[P020_LingoCGM_CGM_Report_FIXED.xlsx]Study Export'!AC$3,"")</f>
        <v/>
      </c>
      <c r="AD25" s="56">
        <f>IFERROR('[P020_LingoCGM_CGM_Report_FIXED.xlsx]Study Export'!AD$3,"")</f>
        <v/>
      </c>
      <c r="AE25" s="56">
        <f>IFERROR('[P020_LingoCGM_CGM_Report_FIXED.xlsx]Study Export'!AE$3,"")</f>
        <v/>
      </c>
      <c r="AF25" s="56">
        <f>IFERROR('[P020_LingoCGM_CGM_Report_FIXED.xlsx]Study Export'!AF$3,"")</f>
        <v/>
      </c>
      <c r="AG25" s="56">
        <f>IFERROR('[P020_LingoCGM_CGM_Report_FIXED.xlsx]Study Export'!AG$3,"")</f>
        <v/>
      </c>
      <c r="AH25" s="27">
        <f>IFERROR('[P020_LingoCGM_CGM_Report_FIXED.xlsx]Study Export'!AH$3,"")</f>
        <v/>
      </c>
      <c r="AI25" s="27">
        <f>IFERROR('[P020_LingoCGM_CGM_Report_FIXED.xlsx]Study Export'!AI$3,"")</f>
        <v/>
      </c>
      <c r="AJ25" s="27">
        <f>IFERROR('[P020_LingoCGM_CGM_Report_FIXED.xlsx]Study Export'!AJ$3,"")</f>
        <v/>
      </c>
      <c r="AK25" s="27">
        <f>IFERROR('[P020_LingoCGM_CGM_Report_FIXED.xlsx]Study Export'!AK$3,"")</f>
        <v/>
      </c>
      <c r="AL25" s="27">
        <f>IFERROR('[P020_LingoCGM_CGM_Report_FIXED.xlsx]Study Export'!AL$3,"")</f>
        <v/>
      </c>
      <c r="AM25" s="27">
        <f>IFERROR('[P020_LingoCGM_CGM_Report_FIXED.xlsx]Study Export'!AM$3,"")</f>
        <v/>
      </c>
      <c r="AN25" s="27">
        <f>IFERROR('[P020_LingoCGM_CGM_Report_FIXED.xlsx]Study Export'!AN$3,"")</f>
        <v/>
      </c>
      <c r="AO25" s="27">
        <f>IFERROR('[P020_LingoCGM_CGM_Report_FIXED.xlsx]Study Export'!AO$3,"")</f>
        <v/>
      </c>
      <c r="AP25" s="27">
        <f>IFERROR('[P020_LingoCGM_CGM_Report_FIXED.xlsx]Study Export'!AP$3,"")</f>
        <v/>
      </c>
      <c r="AQ25" s="27">
        <f>IFERROR('[P020_LingoCGM_CGM_Report_FIXED.xlsx]Study Export'!AQ$3,"")</f>
        <v/>
      </c>
      <c r="AR25" s="27">
        <f>IFERROR('[P020_LingoCGM_CGM_Report_FIXED.xlsx]Study Export'!AR$3,"")</f>
        <v/>
      </c>
      <c r="AS25" s="27">
        <f>IFERROR('[P020_LingoCGM_CGM_Report_FIXED.xlsx]Study Export'!AS$3,"")</f>
        <v/>
      </c>
      <c r="AT25" s="47">
        <f>IFERROR('[P020_LingoCGM_CGM_Report_FIXED.xlsx]Study Export'!AT$3,"")</f>
        <v/>
      </c>
      <c r="AU25" s="47">
        <f>IFERROR('[P020_LingoCGM_CGM_Report_FIXED.xlsx]Study Export'!AU$3,"")</f>
        <v/>
      </c>
      <c r="AV25" s="47">
        <f>IFERROR('[P020_LingoCGM_CGM_Report_FIXED.xlsx]Study Export'!AV$3,"")</f>
        <v/>
      </c>
      <c r="AW25" s="56">
        <f>IFERROR('[P020_LingoCGM_CGM_Report_FIXED.xlsx]Study Export'!AW$3,"")</f>
        <v/>
      </c>
      <c r="AX25" s="56">
        <f>IFERROR('[P020_LingoCGM_CGM_Report_FIXED.xlsx]Study Export'!AX$3,"")</f>
        <v/>
      </c>
      <c r="AY25" s="56">
        <f>IFERROR('[P020_LingoCGM_CGM_Report_FIXED.xlsx]Study Export'!AY$3,"")</f>
        <v/>
      </c>
      <c r="AZ25" s="47">
        <f>IFERROR('[P020_LingoCGM_CGM_Report_FIXED.xlsx]Study Export'!AZ$3,"")</f>
        <v/>
      </c>
      <c r="BA25" s="47">
        <f>IFERROR('[P020_LingoCGM_CGM_Report_FIXED.xlsx]Study Export'!BA$3,"")</f>
        <v/>
      </c>
      <c r="BB25" s="47">
        <f>IFERROR('[P020_LingoCGM_CGM_Report_FIXED.xlsx]Study Export'!BB$3,"")</f>
        <v/>
      </c>
      <c r="BC25" s="27">
        <f>IFERROR('[P020_LingoCGM_CGM_Report_FIXED.xlsx]Study Export'!BC$3,"")</f>
        <v/>
      </c>
      <c r="BD25" s="27">
        <f>IFERROR('[P020_LingoCGM_CGM_Report_FIXED.xlsx]Study Export'!BD$3,"")</f>
        <v/>
      </c>
      <c r="BE25" s="27">
        <f>IFERROR('[P020_LingoCGM_CGM_Report_FIXED.xlsx]Study Export'!BE$3,"")</f>
        <v/>
      </c>
      <c r="BF25" s="47">
        <f>IFERROR('[P020_LingoCGM_CGM_Report_FIXED.xlsx]Study Export'!BF$3,"")</f>
        <v/>
      </c>
      <c r="BG25" s="47">
        <f>IFERROR('[P020_LingoCGM_CGM_Report_FIXED.xlsx]Study Export'!BG$3,"")</f>
        <v/>
      </c>
      <c r="BH25" s="47">
        <f>IFERROR('[P020_LingoCGM_CGM_Report_FIXED.xlsx]Study Export'!BH$3,"")</f>
        <v/>
      </c>
      <c r="BI25" s="47">
        <f>IFERROR('[P020_LingoCGM_CGM_Report_FIXED.xlsx]Study Export'!BI$3,"")</f>
        <v/>
      </c>
      <c r="BJ25" s="47">
        <f>IFERROR('[P020_LingoCGM_CGM_Report_FIXED.xlsx]Study Export'!BJ$3,"")</f>
        <v/>
      </c>
      <c r="BK25" s="47">
        <f>IFERROR('[P020_LingoCGM_CGM_Report_FIXED.xlsx]Study Export'!BK$3,"")</f>
        <v/>
      </c>
      <c r="BL25" s="47">
        <f>IFERROR('[P020_LingoCGM_CGM_Report_FIXED.xlsx]Study Export'!BL$3,"")</f>
        <v/>
      </c>
      <c r="BM25" s="47">
        <f>IFERROR('[P020_LingoCGM_CGM_Report_FIXED.xlsx]Study Export'!BM$3,"")</f>
        <v/>
      </c>
      <c r="BN25" s="47">
        <f>IFERROR('[P020_LingoCGM_CGM_Report_FIXED.xlsx]Study Export'!BN$3,"")</f>
        <v/>
      </c>
      <c r="BO25" s="47">
        <f>IFERROR('[P020_LingoCGM_CGM_Report_FIXED.xlsx]Study Export'!BO$3,"")</f>
        <v/>
      </c>
      <c r="BP25" s="47">
        <f>IFERROR('[P020_LingoCGM_CGM_Report_FIXED.xlsx]Study Export'!BP$3,"")</f>
        <v/>
      </c>
      <c r="BQ25" s="47">
        <f>IFERROR('[P020_LingoCGM_CGM_Report_FIXED.xlsx]Study Export'!BQ$3,"")</f>
        <v/>
      </c>
      <c r="BR25" s="47">
        <f>IFERROR('[P020_LingoCGM_CGM_Report_FIXED.xlsx]Study Export'!BR$3,"")</f>
        <v/>
      </c>
      <c r="BS25" s="47">
        <f>IFERROR('[P020_LingoCGM_CGM_Report_FIXED.xlsx]Study Export'!BS$3,"")</f>
        <v/>
      </c>
      <c r="BT25" s="47">
        <f>IFERROR('[P020_LingoCGM_CGM_Report_FIXED.xlsx]Study Export'!BT$3,"")</f>
        <v/>
      </c>
      <c r="BU25" s="47">
        <f>IFERROR('[P020_LingoCGM_CGM_Report_FIXED.xlsx]Study Export'!BU$3,"")</f>
        <v/>
      </c>
      <c r="BV25" s="47">
        <f>IFERROR('[P020_LingoCGM_CGM_Report_FIXED.xlsx]Study Export'!BV$3,"")</f>
        <v/>
      </c>
      <c r="BW25" s="47">
        <f>IFERROR('[P020_LingoCGM_CGM_Report_FIXED.xlsx]Study Export'!BW$3,"")</f>
        <v/>
      </c>
      <c r="BX25">
        <f>IFERROR('[P020_LingoCGM_CGM_Report_FIXED.xlsx]Study Export'!BX$3,"")</f>
        <v/>
      </c>
      <c r="BY25" s="57">
        <f>IFERROR('[P020_LingoCGM_CGM_Report_FIXED.xlsx]Study Export'!BY$3,"")</f>
        <v/>
      </c>
      <c r="BZ25" s="57">
        <f>IFERROR('[P020_LingoCGM_CGM_Report_FIXED.xlsx]Study Export'!BZ$3,"")</f>
        <v/>
      </c>
      <c r="CA25" s="57">
        <f>IFERROR('[P020_LingoCGM_CGM_Report_FIXED.xlsx]Study Export'!CA$3,"")</f>
        <v/>
      </c>
      <c r="CB25" s="58">
        <f>IFERROR('[P020_LingoCGM_CGM_Report_FIXED.xlsx]Study Export'!CB$3,"")</f>
        <v/>
      </c>
      <c r="CC25" s="59">
        <f>IFERROR('[P020_LingoCGM_CGM_Report_FIXED.xlsx]Study Export'!CC$3,"")</f>
        <v/>
      </c>
      <c r="CD25">
        <f>IFERROR('[P020_LingoCGM_CGM_Report_FIXED.xlsx]Study Export'!CD$3,"")</f>
        <v/>
      </c>
      <c r="CE25">
        <f>IFERROR('[P020_LingoCGM_CGM_Report_FIXED.xlsx]Study Export'!CE$3,"")</f>
        <v/>
      </c>
      <c r="CF25" s="60">
        <f>IFERROR('[P020_LingoCGM_CGM_Report_FIXED.xlsx]Study Export'!CF$3,"")</f>
        <v/>
      </c>
      <c r="CG25" s="60">
        <f>IFERROR('[P020_LingoCGM_CGM_Report_FIXED.xlsx]Study Export'!CG$3,"")</f>
        <v/>
      </c>
      <c r="CH25">
        <f>IFERROR('[P020_LingoCGM_CGM_Report_FIXED.xlsx]Study Export'!CH$3,"")</f>
        <v/>
      </c>
    </row>
    <row r="26">
      <c r="A26" s="24">
        <f>IFERROR('[P021_LingoCGM_CGM_Report_FIXED.xlsx]Study Export'!A$3,"")</f>
        <v/>
      </c>
      <c r="B26" s="24">
        <f>IFERROR('[P021_LingoCGM_CGM_Report_FIXED.xlsx]Study Export'!B$3,"")</f>
        <v/>
      </c>
      <c r="C26" s="24">
        <f>IFERROR('[P021_LingoCGM_CGM_Report_FIXED.xlsx]Study Export'!C$3,"")</f>
        <v/>
      </c>
      <c r="D26" s="24">
        <f>IFERROR('[P021_LingoCGM_CGM_Report_FIXED.xlsx]Study Export'!D$3,"")</f>
        <v/>
      </c>
      <c r="E26" s="55">
        <f>IFERROR('[P021_LingoCGM_CGM_Report_FIXED.xlsx]Study Export'!E$3,"")</f>
        <v/>
      </c>
      <c r="F26" s="26">
        <f>IFERROR('[P021_LingoCGM_CGM_Report_FIXED.xlsx]Study Export'!F$3,"")</f>
        <v/>
      </c>
      <c r="G26" s="26">
        <f>IFERROR('[P021_LingoCGM_CGM_Report_FIXED.xlsx]Study Export'!G$3,"")</f>
        <v/>
      </c>
      <c r="H26" s="47">
        <f>IFERROR('[P021_LingoCGM_CGM_Report_FIXED.xlsx]Study Export'!H$3,"")</f>
        <v/>
      </c>
      <c r="I26" s="26">
        <f>IFERROR('[P021_LingoCGM_CGM_Report_FIXED.xlsx]Study Export'!I$3,"")</f>
        <v/>
      </c>
      <c r="J26" s="26">
        <f>IFERROR('[P021_LingoCGM_CGM_Report_FIXED.xlsx]Study Export'!J$3,"")</f>
        <v/>
      </c>
      <c r="K26" s="47">
        <f>IFERROR('[P021_LingoCGM_CGM_Report_FIXED.xlsx]Study Export'!K$3,"")</f>
        <v/>
      </c>
      <c r="L26" s="47">
        <f>IFERROR('[P021_LingoCGM_CGM_Report_FIXED.xlsx]Study Export'!L$3,"")</f>
        <v/>
      </c>
      <c r="M26" s="47">
        <f>IFERROR('[P021_LingoCGM_CGM_Report_FIXED.xlsx]Study Export'!M$3,"")</f>
        <v/>
      </c>
      <c r="N26" s="47">
        <f>IFERROR('[P021_LingoCGM_CGM_Report_FIXED.xlsx]Study Export'!N$3,"")</f>
        <v/>
      </c>
      <c r="O26" s="47">
        <f>IFERROR('[P021_LingoCGM_CGM_Report_FIXED.xlsx]Study Export'!O$3,"")</f>
        <v/>
      </c>
      <c r="P26" s="27">
        <f>IFERROR('[P021_LingoCGM_CGM_Report_FIXED.xlsx]Study Export'!P$3,"")</f>
        <v/>
      </c>
      <c r="Q26" s="27">
        <f>IFERROR('[P021_LingoCGM_CGM_Report_FIXED.xlsx]Study Export'!Q$3,"")</f>
        <v/>
      </c>
      <c r="R26" s="27">
        <f>IFERROR('[P021_LingoCGM_CGM_Report_FIXED.xlsx]Study Export'!R$3,"")</f>
        <v/>
      </c>
      <c r="S26" s="56">
        <f>IFERROR('[P021_LingoCGM_CGM_Report_FIXED.xlsx]Study Export'!S$3,"")</f>
        <v/>
      </c>
      <c r="T26" s="56">
        <f>IFERROR('[P021_LingoCGM_CGM_Report_FIXED.xlsx]Study Export'!T$3,"")</f>
        <v/>
      </c>
      <c r="U26" s="56">
        <f>IFERROR('[P021_LingoCGM_CGM_Report_FIXED.xlsx]Study Export'!U$3,"")</f>
        <v/>
      </c>
      <c r="V26" s="56">
        <f>IFERROR('[P021_LingoCGM_CGM_Report_FIXED.xlsx]Study Export'!V$3,"")</f>
        <v/>
      </c>
      <c r="W26" s="56">
        <f>IFERROR('[P021_LingoCGM_CGM_Report_FIXED.xlsx]Study Export'!W$3,"")</f>
        <v/>
      </c>
      <c r="X26" s="56">
        <f>IFERROR('[P021_LingoCGM_CGM_Report_FIXED.xlsx]Study Export'!X$3,"")</f>
        <v/>
      </c>
      <c r="Y26" s="56">
        <f>IFERROR('[P021_LingoCGM_CGM_Report_FIXED.xlsx]Study Export'!Y$3,"")</f>
        <v/>
      </c>
      <c r="Z26" s="56">
        <f>IFERROR('[P021_LingoCGM_CGM_Report_FIXED.xlsx]Study Export'!Z$3,"")</f>
        <v/>
      </c>
      <c r="AA26" s="56">
        <f>IFERROR('[P021_LingoCGM_CGM_Report_FIXED.xlsx]Study Export'!AA$3,"")</f>
        <v/>
      </c>
      <c r="AB26" s="56">
        <f>IFERROR('[P021_LingoCGM_CGM_Report_FIXED.xlsx]Study Export'!AB$3,"")</f>
        <v/>
      </c>
      <c r="AC26" s="56">
        <f>IFERROR('[P021_LingoCGM_CGM_Report_FIXED.xlsx]Study Export'!AC$3,"")</f>
        <v/>
      </c>
      <c r="AD26" s="56">
        <f>IFERROR('[P021_LingoCGM_CGM_Report_FIXED.xlsx]Study Export'!AD$3,"")</f>
        <v/>
      </c>
      <c r="AE26" s="56">
        <f>IFERROR('[P021_LingoCGM_CGM_Report_FIXED.xlsx]Study Export'!AE$3,"")</f>
        <v/>
      </c>
      <c r="AF26" s="56">
        <f>IFERROR('[P021_LingoCGM_CGM_Report_FIXED.xlsx]Study Export'!AF$3,"")</f>
        <v/>
      </c>
      <c r="AG26" s="56">
        <f>IFERROR('[P021_LingoCGM_CGM_Report_FIXED.xlsx]Study Export'!AG$3,"")</f>
        <v/>
      </c>
      <c r="AH26" s="27">
        <f>IFERROR('[P021_LingoCGM_CGM_Report_FIXED.xlsx]Study Export'!AH$3,"")</f>
        <v/>
      </c>
      <c r="AI26" s="27">
        <f>IFERROR('[P021_LingoCGM_CGM_Report_FIXED.xlsx]Study Export'!AI$3,"")</f>
        <v/>
      </c>
      <c r="AJ26" s="27">
        <f>IFERROR('[P021_LingoCGM_CGM_Report_FIXED.xlsx]Study Export'!AJ$3,"")</f>
        <v/>
      </c>
      <c r="AK26" s="27">
        <f>IFERROR('[P021_LingoCGM_CGM_Report_FIXED.xlsx]Study Export'!AK$3,"")</f>
        <v/>
      </c>
      <c r="AL26" s="27">
        <f>IFERROR('[P021_LingoCGM_CGM_Report_FIXED.xlsx]Study Export'!AL$3,"")</f>
        <v/>
      </c>
      <c r="AM26" s="27">
        <f>IFERROR('[P021_LingoCGM_CGM_Report_FIXED.xlsx]Study Export'!AM$3,"")</f>
        <v/>
      </c>
      <c r="AN26" s="27">
        <f>IFERROR('[P021_LingoCGM_CGM_Report_FIXED.xlsx]Study Export'!AN$3,"")</f>
        <v/>
      </c>
      <c r="AO26" s="27">
        <f>IFERROR('[P021_LingoCGM_CGM_Report_FIXED.xlsx]Study Export'!AO$3,"")</f>
        <v/>
      </c>
      <c r="AP26" s="27">
        <f>IFERROR('[P021_LingoCGM_CGM_Report_FIXED.xlsx]Study Export'!AP$3,"")</f>
        <v/>
      </c>
      <c r="AQ26" s="27">
        <f>IFERROR('[P021_LingoCGM_CGM_Report_FIXED.xlsx]Study Export'!AQ$3,"")</f>
        <v/>
      </c>
      <c r="AR26" s="27">
        <f>IFERROR('[P021_LingoCGM_CGM_Report_FIXED.xlsx]Study Export'!AR$3,"")</f>
        <v/>
      </c>
      <c r="AS26" s="27">
        <f>IFERROR('[P021_LingoCGM_CGM_Report_FIXED.xlsx]Study Export'!AS$3,"")</f>
        <v/>
      </c>
      <c r="AT26" s="47">
        <f>IFERROR('[P021_LingoCGM_CGM_Report_FIXED.xlsx]Study Export'!AT$3,"")</f>
        <v/>
      </c>
      <c r="AU26" s="47">
        <f>IFERROR('[P021_LingoCGM_CGM_Report_FIXED.xlsx]Study Export'!AU$3,"")</f>
        <v/>
      </c>
      <c r="AV26" s="47">
        <f>IFERROR('[P021_LingoCGM_CGM_Report_FIXED.xlsx]Study Export'!AV$3,"")</f>
        <v/>
      </c>
      <c r="AW26" s="56">
        <f>IFERROR('[P021_LingoCGM_CGM_Report_FIXED.xlsx]Study Export'!AW$3,"")</f>
        <v/>
      </c>
      <c r="AX26" s="56">
        <f>IFERROR('[P021_LingoCGM_CGM_Report_FIXED.xlsx]Study Export'!AX$3,"")</f>
        <v/>
      </c>
      <c r="AY26" s="56">
        <f>IFERROR('[P021_LingoCGM_CGM_Report_FIXED.xlsx]Study Export'!AY$3,"")</f>
        <v/>
      </c>
      <c r="AZ26" s="47">
        <f>IFERROR('[P021_LingoCGM_CGM_Report_FIXED.xlsx]Study Export'!AZ$3,"")</f>
        <v/>
      </c>
      <c r="BA26" s="47">
        <f>IFERROR('[P021_LingoCGM_CGM_Report_FIXED.xlsx]Study Export'!BA$3,"")</f>
        <v/>
      </c>
      <c r="BB26" s="47">
        <f>IFERROR('[P021_LingoCGM_CGM_Report_FIXED.xlsx]Study Export'!BB$3,"")</f>
        <v/>
      </c>
      <c r="BC26" s="27">
        <f>IFERROR('[P021_LingoCGM_CGM_Report_FIXED.xlsx]Study Export'!BC$3,"")</f>
        <v/>
      </c>
      <c r="BD26" s="27">
        <f>IFERROR('[P021_LingoCGM_CGM_Report_FIXED.xlsx]Study Export'!BD$3,"")</f>
        <v/>
      </c>
      <c r="BE26" s="27">
        <f>IFERROR('[P021_LingoCGM_CGM_Report_FIXED.xlsx]Study Export'!BE$3,"")</f>
        <v/>
      </c>
      <c r="BF26" s="47">
        <f>IFERROR('[P021_LingoCGM_CGM_Report_FIXED.xlsx]Study Export'!BF$3,"")</f>
        <v/>
      </c>
      <c r="BG26" s="47">
        <f>IFERROR('[P021_LingoCGM_CGM_Report_FIXED.xlsx]Study Export'!BG$3,"")</f>
        <v/>
      </c>
      <c r="BH26" s="47">
        <f>IFERROR('[P021_LingoCGM_CGM_Report_FIXED.xlsx]Study Export'!BH$3,"")</f>
        <v/>
      </c>
      <c r="BI26" s="47">
        <f>IFERROR('[P021_LingoCGM_CGM_Report_FIXED.xlsx]Study Export'!BI$3,"")</f>
        <v/>
      </c>
      <c r="BJ26" s="47">
        <f>IFERROR('[P021_LingoCGM_CGM_Report_FIXED.xlsx]Study Export'!BJ$3,"")</f>
        <v/>
      </c>
      <c r="BK26" s="47">
        <f>IFERROR('[P021_LingoCGM_CGM_Report_FIXED.xlsx]Study Export'!BK$3,"")</f>
        <v/>
      </c>
      <c r="BL26" s="47">
        <f>IFERROR('[P021_LingoCGM_CGM_Report_FIXED.xlsx]Study Export'!BL$3,"")</f>
        <v/>
      </c>
      <c r="BM26" s="47">
        <f>IFERROR('[P021_LingoCGM_CGM_Report_FIXED.xlsx]Study Export'!BM$3,"")</f>
        <v/>
      </c>
      <c r="BN26" s="47">
        <f>IFERROR('[P021_LingoCGM_CGM_Report_FIXED.xlsx]Study Export'!BN$3,"")</f>
        <v/>
      </c>
      <c r="BO26" s="47">
        <f>IFERROR('[P021_LingoCGM_CGM_Report_FIXED.xlsx]Study Export'!BO$3,"")</f>
        <v/>
      </c>
      <c r="BP26" s="47">
        <f>IFERROR('[P021_LingoCGM_CGM_Report_FIXED.xlsx]Study Export'!BP$3,"")</f>
        <v/>
      </c>
      <c r="BQ26" s="47">
        <f>IFERROR('[P021_LingoCGM_CGM_Report_FIXED.xlsx]Study Export'!BQ$3,"")</f>
        <v/>
      </c>
      <c r="BR26" s="47">
        <f>IFERROR('[P021_LingoCGM_CGM_Report_FIXED.xlsx]Study Export'!BR$3,"")</f>
        <v/>
      </c>
      <c r="BS26" s="47">
        <f>IFERROR('[P021_LingoCGM_CGM_Report_FIXED.xlsx]Study Export'!BS$3,"")</f>
        <v/>
      </c>
      <c r="BT26" s="47">
        <f>IFERROR('[P021_LingoCGM_CGM_Report_FIXED.xlsx]Study Export'!BT$3,"")</f>
        <v/>
      </c>
      <c r="BU26" s="47">
        <f>IFERROR('[P021_LingoCGM_CGM_Report_FIXED.xlsx]Study Export'!BU$3,"")</f>
        <v/>
      </c>
      <c r="BV26" s="47">
        <f>IFERROR('[P021_LingoCGM_CGM_Report_FIXED.xlsx]Study Export'!BV$3,"")</f>
        <v/>
      </c>
      <c r="BW26" s="47">
        <f>IFERROR('[P021_LingoCGM_CGM_Report_FIXED.xlsx]Study Export'!BW$3,"")</f>
        <v/>
      </c>
      <c r="BX26">
        <f>IFERROR('[P021_LingoCGM_CGM_Report_FIXED.xlsx]Study Export'!BX$3,"")</f>
        <v/>
      </c>
      <c r="BY26" s="57">
        <f>IFERROR('[P021_LingoCGM_CGM_Report_FIXED.xlsx]Study Export'!BY$3,"")</f>
        <v/>
      </c>
      <c r="BZ26" s="57">
        <f>IFERROR('[P021_LingoCGM_CGM_Report_FIXED.xlsx]Study Export'!BZ$3,"")</f>
        <v/>
      </c>
      <c r="CA26" s="57">
        <f>IFERROR('[P021_LingoCGM_CGM_Report_FIXED.xlsx]Study Export'!CA$3,"")</f>
        <v/>
      </c>
      <c r="CB26" s="58">
        <f>IFERROR('[P021_LingoCGM_CGM_Report_FIXED.xlsx]Study Export'!CB$3,"")</f>
        <v/>
      </c>
      <c r="CC26" s="59">
        <f>IFERROR('[P021_LingoCGM_CGM_Report_FIXED.xlsx]Study Export'!CC$3,"")</f>
        <v/>
      </c>
      <c r="CD26">
        <f>IFERROR('[P021_LingoCGM_CGM_Report_FIXED.xlsx]Study Export'!CD$3,"")</f>
        <v/>
      </c>
      <c r="CE26">
        <f>IFERROR('[P021_LingoCGM_CGM_Report_FIXED.xlsx]Study Export'!CE$3,"")</f>
        <v/>
      </c>
      <c r="CF26" s="60">
        <f>IFERROR('[P021_LingoCGM_CGM_Report_FIXED.xlsx]Study Export'!CF$3,"")</f>
        <v/>
      </c>
      <c r="CG26" s="60">
        <f>IFERROR('[P021_LingoCGM_CGM_Report_FIXED.xlsx]Study Export'!CG$3,"")</f>
        <v/>
      </c>
      <c r="CH26">
        <f>IFERROR('[P021_LingoCGM_CGM_Report_FIXED.xlsx]Study Export'!CH$3,"")</f>
        <v/>
      </c>
    </row>
    <row r="27">
      <c r="A27" s="24">
        <f>IFERROR('[P022_LingoCGM_CGM_Report_FIXED.xlsx]Study Export'!A$3,"")</f>
        <v/>
      </c>
      <c r="B27" s="24">
        <f>IFERROR('[P022_LingoCGM_CGM_Report_FIXED.xlsx]Study Export'!B$3,"")</f>
        <v/>
      </c>
      <c r="C27" s="24">
        <f>IFERROR('[P022_LingoCGM_CGM_Report_FIXED.xlsx]Study Export'!C$3,"")</f>
        <v/>
      </c>
      <c r="D27" s="24">
        <f>IFERROR('[P022_LingoCGM_CGM_Report_FIXED.xlsx]Study Export'!D$3,"")</f>
        <v/>
      </c>
      <c r="E27" s="55">
        <f>IFERROR('[P022_LingoCGM_CGM_Report_FIXED.xlsx]Study Export'!E$3,"")</f>
        <v/>
      </c>
      <c r="F27" s="26">
        <f>IFERROR('[P022_LingoCGM_CGM_Report_FIXED.xlsx]Study Export'!F$3,"")</f>
        <v/>
      </c>
      <c r="G27" s="26">
        <f>IFERROR('[P022_LingoCGM_CGM_Report_FIXED.xlsx]Study Export'!G$3,"")</f>
        <v/>
      </c>
      <c r="H27" s="47">
        <f>IFERROR('[P022_LingoCGM_CGM_Report_FIXED.xlsx]Study Export'!H$3,"")</f>
        <v/>
      </c>
      <c r="I27" s="26">
        <f>IFERROR('[P022_LingoCGM_CGM_Report_FIXED.xlsx]Study Export'!I$3,"")</f>
        <v/>
      </c>
      <c r="J27" s="26">
        <f>IFERROR('[P022_LingoCGM_CGM_Report_FIXED.xlsx]Study Export'!J$3,"")</f>
        <v/>
      </c>
      <c r="K27" s="47">
        <f>IFERROR('[P022_LingoCGM_CGM_Report_FIXED.xlsx]Study Export'!K$3,"")</f>
        <v/>
      </c>
      <c r="L27" s="47">
        <f>IFERROR('[P022_LingoCGM_CGM_Report_FIXED.xlsx]Study Export'!L$3,"")</f>
        <v/>
      </c>
      <c r="M27" s="47">
        <f>IFERROR('[P022_LingoCGM_CGM_Report_FIXED.xlsx]Study Export'!M$3,"")</f>
        <v/>
      </c>
      <c r="N27" s="47">
        <f>IFERROR('[P022_LingoCGM_CGM_Report_FIXED.xlsx]Study Export'!N$3,"")</f>
        <v/>
      </c>
      <c r="O27" s="47">
        <f>IFERROR('[P022_LingoCGM_CGM_Report_FIXED.xlsx]Study Export'!O$3,"")</f>
        <v/>
      </c>
      <c r="P27" s="27">
        <f>IFERROR('[P022_LingoCGM_CGM_Report_FIXED.xlsx]Study Export'!P$3,"")</f>
        <v/>
      </c>
      <c r="Q27" s="27">
        <f>IFERROR('[P022_LingoCGM_CGM_Report_FIXED.xlsx]Study Export'!Q$3,"")</f>
        <v/>
      </c>
      <c r="R27" s="27">
        <f>IFERROR('[P022_LingoCGM_CGM_Report_FIXED.xlsx]Study Export'!R$3,"")</f>
        <v/>
      </c>
      <c r="S27" s="56">
        <f>IFERROR('[P022_LingoCGM_CGM_Report_FIXED.xlsx]Study Export'!S$3,"")</f>
        <v/>
      </c>
      <c r="T27" s="56">
        <f>IFERROR('[P022_LingoCGM_CGM_Report_FIXED.xlsx]Study Export'!T$3,"")</f>
        <v/>
      </c>
      <c r="U27" s="56">
        <f>IFERROR('[P022_LingoCGM_CGM_Report_FIXED.xlsx]Study Export'!U$3,"")</f>
        <v/>
      </c>
      <c r="V27" s="56">
        <f>IFERROR('[P022_LingoCGM_CGM_Report_FIXED.xlsx]Study Export'!V$3,"")</f>
        <v/>
      </c>
      <c r="W27" s="56">
        <f>IFERROR('[P022_LingoCGM_CGM_Report_FIXED.xlsx]Study Export'!W$3,"")</f>
        <v/>
      </c>
      <c r="X27" s="56">
        <f>IFERROR('[P022_LingoCGM_CGM_Report_FIXED.xlsx]Study Export'!X$3,"")</f>
        <v/>
      </c>
      <c r="Y27" s="56">
        <f>IFERROR('[P022_LingoCGM_CGM_Report_FIXED.xlsx]Study Export'!Y$3,"")</f>
        <v/>
      </c>
      <c r="Z27" s="56">
        <f>IFERROR('[P022_LingoCGM_CGM_Report_FIXED.xlsx]Study Export'!Z$3,"")</f>
        <v/>
      </c>
      <c r="AA27" s="56">
        <f>IFERROR('[P022_LingoCGM_CGM_Report_FIXED.xlsx]Study Export'!AA$3,"")</f>
        <v/>
      </c>
      <c r="AB27" s="56">
        <f>IFERROR('[P022_LingoCGM_CGM_Report_FIXED.xlsx]Study Export'!AB$3,"")</f>
        <v/>
      </c>
      <c r="AC27" s="56">
        <f>IFERROR('[P022_LingoCGM_CGM_Report_FIXED.xlsx]Study Export'!AC$3,"")</f>
        <v/>
      </c>
      <c r="AD27" s="56">
        <f>IFERROR('[P022_LingoCGM_CGM_Report_FIXED.xlsx]Study Export'!AD$3,"")</f>
        <v/>
      </c>
      <c r="AE27" s="56">
        <f>IFERROR('[P022_LingoCGM_CGM_Report_FIXED.xlsx]Study Export'!AE$3,"")</f>
        <v/>
      </c>
      <c r="AF27" s="56">
        <f>IFERROR('[P022_LingoCGM_CGM_Report_FIXED.xlsx]Study Export'!AF$3,"")</f>
        <v/>
      </c>
      <c r="AG27" s="56">
        <f>IFERROR('[P022_LingoCGM_CGM_Report_FIXED.xlsx]Study Export'!AG$3,"")</f>
        <v/>
      </c>
      <c r="AH27" s="27">
        <f>IFERROR('[P022_LingoCGM_CGM_Report_FIXED.xlsx]Study Export'!AH$3,"")</f>
        <v/>
      </c>
      <c r="AI27" s="27">
        <f>IFERROR('[P022_LingoCGM_CGM_Report_FIXED.xlsx]Study Export'!AI$3,"")</f>
        <v/>
      </c>
      <c r="AJ27" s="27">
        <f>IFERROR('[P022_LingoCGM_CGM_Report_FIXED.xlsx]Study Export'!AJ$3,"")</f>
        <v/>
      </c>
      <c r="AK27" s="27">
        <f>IFERROR('[P022_LingoCGM_CGM_Report_FIXED.xlsx]Study Export'!AK$3,"")</f>
        <v/>
      </c>
      <c r="AL27" s="27">
        <f>IFERROR('[P022_LingoCGM_CGM_Report_FIXED.xlsx]Study Export'!AL$3,"")</f>
        <v/>
      </c>
      <c r="AM27" s="27">
        <f>IFERROR('[P022_LingoCGM_CGM_Report_FIXED.xlsx]Study Export'!AM$3,"")</f>
        <v/>
      </c>
      <c r="AN27" s="27">
        <f>IFERROR('[P022_LingoCGM_CGM_Report_FIXED.xlsx]Study Export'!AN$3,"")</f>
        <v/>
      </c>
      <c r="AO27" s="27">
        <f>IFERROR('[P022_LingoCGM_CGM_Report_FIXED.xlsx]Study Export'!AO$3,"")</f>
        <v/>
      </c>
      <c r="AP27" s="27">
        <f>IFERROR('[P022_LingoCGM_CGM_Report_FIXED.xlsx]Study Export'!AP$3,"")</f>
        <v/>
      </c>
      <c r="AQ27" s="27">
        <f>IFERROR('[P022_LingoCGM_CGM_Report_FIXED.xlsx]Study Export'!AQ$3,"")</f>
        <v/>
      </c>
      <c r="AR27" s="27">
        <f>IFERROR('[P022_LingoCGM_CGM_Report_FIXED.xlsx]Study Export'!AR$3,"")</f>
        <v/>
      </c>
      <c r="AS27" s="27">
        <f>IFERROR('[P022_LingoCGM_CGM_Report_FIXED.xlsx]Study Export'!AS$3,"")</f>
        <v/>
      </c>
      <c r="AT27" s="47">
        <f>IFERROR('[P022_LingoCGM_CGM_Report_FIXED.xlsx]Study Export'!AT$3,"")</f>
        <v/>
      </c>
      <c r="AU27" s="47">
        <f>IFERROR('[P022_LingoCGM_CGM_Report_FIXED.xlsx]Study Export'!AU$3,"")</f>
        <v/>
      </c>
      <c r="AV27" s="47">
        <f>IFERROR('[P022_LingoCGM_CGM_Report_FIXED.xlsx]Study Export'!AV$3,"")</f>
        <v/>
      </c>
      <c r="AW27" s="56">
        <f>IFERROR('[P022_LingoCGM_CGM_Report_FIXED.xlsx]Study Export'!AW$3,"")</f>
        <v/>
      </c>
      <c r="AX27" s="56">
        <f>IFERROR('[P022_LingoCGM_CGM_Report_FIXED.xlsx]Study Export'!AX$3,"")</f>
        <v/>
      </c>
      <c r="AY27" s="56">
        <f>IFERROR('[P022_LingoCGM_CGM_Report_FIXED.xlsx]Study Export'!AY$3,"")</f>
        <v/>
      </c>
      <c r="AZ27" s="47">
        <f>IFERROR('[P022_LingoCGM_CGM_Report_FIXED.xlsx]Study Export'!AZ$3,"")</f>
        <v/>
      </c>
      <c r="BA27" s="47">
        <f>IFERROR('[P022_LingoCGM_CGM_Report_FIXED.xlsx]Study Export'!BA$3,"")</f>
        <v/>
      </c>
      <c r="BB27" s="47">
        <f>IFERROR('[P022_LingoCGM_CGM_Report_FIXED.xlsx]Study Export'!BB$3,"")</f>
        <v/>
      </c>
      <c r="BC27" s="27">
        <f>IFERROR('[P022_LingoCGM_CGM_Report_FIXED.xlsx]Study Export'!BC$3,"")</f>
        <v/>
      </c>
      <c r="BD27" s="27">
        <f>IFERROR('[P022_LingoCGM_CGM_Report_FIXED.xlsx]Study Export'!BD$3,"")</f>
        <v/>
      </c>
      <c r="BE27" s="27">
        <f>IFERROR('[P022_LingoCGM_CGM_Report_FIXED.xlsx]Study Export'!BE$3,"")</f>
        <v/>
      </c>
      <c r="BF27" s="47">
        <f>IFERROR('[P022_LingoCGM_CGM_Report_FIXED.xlsx]Study Export'!BF$3,"")</f>
        <v/>
      </c>
      <c r="BG27" s="47">
        <f>IFERROR('[P022_LingoCGM_CGM_Report_FIXED.xlsx]Study Export'!BG$3,"")</f>
        <v/>
      </c>
      <c r="BH27" s="47">
        <f>IFERROR('[P022_LingoCGM_CGM_Report_FIXED.xlsx]Study Export'!BH$3,"")</f>
        <v/>
      </c>
      <c r="BI27" s="47">
        <f>IFERROR('[P022_LingoCGM_CGM_Report_FIXED.xlsx]Study Export'!BI$3,"")</f>
        <v/>
      </c>
      <c r="BJ27" s="47">
        <f>IFERROR('[P022_LingoCGM_CGM_Report_FIXED.xlsx]Study Export'!BJ$3,"")</f>
        <v/>
      </c>
      <c r="BK27" s="47">
        <f>IFERROR('[P022_LingoCGM_CGM_Report_FIXED.xlsx]Study Export'!BK$3,"")</f>
        <v/>
      </c>
      <c r="BL27" s="47">
        <f>IFERROR('[P022_LingoCGM_CGM_Report_FIXED.xlsx]Study Export'!BL$3,"")</f>
        <v/>
      </c>
      <c r="BM27" s="47">
        <f>IFERROR('[P022_LingoCGM_CGM_Report_FIXED.xlsx]Study Export'!BM$3,"")</f>
        <v/>
      </c>
      <c r="BN27" s="47">
        <f>IFERROR('[P022_LingoCGM_CGM_Report_FIXED.xlsx]Study Export'!BN$3,"")</f>
        <v/>
      </c>
      <c r="BO27" s="47">
        <f>IFERROR('[P022_LingoCGM_CGM_Report_FIXED.xlsx]Study Export'!BO$3,"")</f>
        <v/>
      </c>
      <c r="BP27" s="47">
        <f>IFERROR('[P022_LingoCGM_CGM_Report_FIXED.xlsx]Study Export'!BP$3,"")</f>
        <v/>
      </c>
      <c r="BQ27" s="47">
        <f>IFERROR('[P022_LingoCGM_CGM_Report_FIXED.xlsx]Study Export'!BQ$3,"")</f>
        <v/>
      </c>
      <c r="BR27" s="47">
        <f>IFERROR('[P022_LingoCGM_CGM_Report_FIXED.xlsx]Study Export'!BR$3,"")</f>
        <v/>
      </c>
      <c r="BS27" s="47">
        <f>IFERROR('[P022_LingoCGM_CGM_Report_FIXED.xlsx]Study Export'!BS$3,"")</f>
        <v/>
      </c>
      <c r="BT27" s="47">
        <f>IFERROR('[P022_LingoCGM_CGM_Report_FIXED.xlsx]Study Export'!BT$3,"")</f>
        <v/>
      </c>
      <c r="BU27" s="47">
        <f>IFERROR('[P022_LingoCGM_CGM_Report_FIXED.xlsx]Study Export'!BU$3,"")</f>
        <v/>
      </c>
      <c r="BV27" s="47">
        <f>IFERROR('[P022_LingoCGM_CGM_Report_FIXED.xlsx]Study Export'!BV$3,"")</f>
        <v/>
      </c>
      <c r="BW27" s="47">
        <f>IFERROR('[P022_LingoCGM_CGM_Report_FIXED.xlsx]Study Export'!BW$3,"")</f>
        <v/>
      </c>
      <c r="BX27">
        <f>IFERROR('[P022_LingoCGM_CGM_Report_FIXED.xlsx]Study Export'!BX$3,"")</f>
        <v/>
      </c>
      <c r="BY27" s="57">
        <f>IFERROR('[P022_LingoCGM_CGM_Report_FIXED.xlsx]Study Export'!BY$3,"")</f>
        <v/>
      </c>
      <c r="BZ27" s="57">
        <f>IFERROR('[P022_LingoCGM_CGM_Report_FIXED.xlsx]Study Export'!BZ$3,"")</f>
        <v/>
      </c>
      <c r="CA27" s="57">
        <f>IFERROR('[P022_LingoCGM_CGM_Report_FIXED.xlsx]Study Export'!CA$3,"")</f>
        <v/>
      </c>
      <c r="CB27" s="58">
        <f>IFERROR('[P022_LingoCGM_CGM_Report_FIXED.xlsx]Study Export'!CB$3,"")</f>
        <v/>
      </c>
      <c r="CC27" s="59">
        <f>IFERROR('[P022_LingoCGM_CGM_Report_FIXED.xlsx]Study Export'!CC$3,"")</f>
        <v/>
      </c>
      <c r="CD27">
        <f>IFERROR('[P022_LingoCGM_CGM_Report_FIXED.xlsx]Study Export'!CD$3,"")</f>
        <v/>
      </c>
      <c r="CE27">
        <f>IFERROR('[P022_LingoCGM_CGM_Report_FIXED.xlsx]Study Export'!CE$3,"")</f>
        <v/>
      </c>
      <c r="CF27" s="60">
        <f>IFERROR('[P022_LingoCGM_CGM_Report_FIXED.xlsx]Study Export'!CF$3,"")</f>
        <v/>
      </c>
      <c r="CG27" s="60">
        <f>IFERROR('[P022_LingoCGM_CGM_Report_FIXED.xlsx]Study Export'!CG$3,"")</f>
        <v/>
      </c>
      <c r="CH27">
        <f>IFERROR('[P022_LingoCGM_CGM_Report_FIXED.xlsx]Study Export'!CH$3,"")</f>
        <v/>
      </c>
    </row>
    <row r="28">
      <c r="A28" s="24">
        <f>IFERROR('[P023_LingoCGM_CGM_Report_FIXED.xlsx]Study Export'!A$3,"")</f>
        <v/>
      </c>
      <c r="B28" s="24">
        <f>IFERROR('[P023_LingoCGM_CGM_Report_FIXED.xlsx]Study Export'!B$3,"")</f>
        <v/>
      </c>
      <c r="C28" s="24">
        <f>IFERROR('[P023_LingoCGM_CGM_Report_FIXED.xlsx]Study Export'!C$3,"")</f>
        <v/>
      </c>
      <c r="D28" s="24">
        <f>IFERROR('[P023_LingoCGM_CGM_Report_FIXED.xlsx]Study Export'!D$3,"")</f>
        <v/>
      </c>
      <c r="E28" s="55">
        <f>IFERROR('[P023_LingoCGM_CGM_Report_FIXED.xlsx]Study Export'!E$3,"")</f>
        <v/>
      </c>
      <c r="F28" s="26">
        <f>IFERROR('[P023_LingoCGM_CGM_Report_FIXED.xlsx]Study Export'!F$3,"")</f>
        <v/>
      </c>
      <c r="G28" s="26">
        <f>IFERROR('[P023_LingoCGM_CGM_Report_FIXED.xlsx]Study Export'!G$3,"")</f>
        <v/>
      </c>
      <c r="H28" s="47">
        <f>IFERROR('[P023_LingoCGM_CGM_Report_FIXED.xlsx]Study Export'!H$3,"")</f>
        <v/>
      </c>
      <c r="I28" s="26">
        <f>IFERROR('[P023_LingoCGM_CGM_Report_FIXED.xlsx]Study Export'!I$3,"")</f>
        <v/>
      </c>
      <c r="J28" s="26">
        <f>IFERROR('[P023_LingoCGM_CGM_Report_FIXED.xlsx]Study Export'!J$3,"")</f>
        <v/>
      </c>
      <c r="K28" s="47">
        <f>IFERROR('[P023_LingoCGM_CGM_Report_FIXED.xlsx]Study Export'!K$3,"")</f>
        <v/>
      </c>
      <c r="L28" s="47">
        <f>IFERROR('[P023_LingoCGM_CGM_Report_FIXED.xlsx]Study Export'!L$3,"")</f>
        <v/>
      </c>
      <c r="M28" s="47">
        <f>IFERROR('[P023_LingoCGM_CGM_Report_FIXED.xlsx]Study Export'!M$3,"")</f>
        <v/>
      </c>
      <c r="N28" s="47">
        <f>IFERROR('[P023_LingoCGM_CGM_Report_FIXED.xlsx]Study Export'!N$3,"")</f>
        <v/>
      </c>
      <c r="O28" s="47">
        <f>IFERROR('[P023_LingoCGM_CGM_Report_FIXED.xlsx]Study Export'!O$3,"")</f>
        <v/>
      </c>
      <c r="P28" s="27">
        <f>IFERROR('[P023_LingoCGM_CGM_Report_FIXED.xlsx]Study Export'!P$3,"")</f>
        <v/>
      </c>
      <c r="Q28" s="27">
        <f>IFERROR('[P023_LingoCGM_CGM_Report_FIXED.xlsx]Study Export'!Q$3,"")</f>
        <v/>
      </c>
      <c r="R28" s="27">
        <f>IFERROR('[P023_LingoCGM_CGM_Report_FIXED.xlsx]Study Export'!R$3,"")</f>
        <v/>
      </c>
      <c r="S28" s="56">
        <f>IFERROR('[P023_LingoCGM_CGM_Report_FIXED.xlsx]Study Export'!S$3,"")</f>
        <v/>
      </c>
      <c r="T28" s="56">
        <f>IFERROR('[P023_LingoCGM_CGM_Report_FIXED.xlsx]Study Export'!T$3,"")</f>
        <v/>
      </c>
      <c r="U28" s="56">
        <f>IFERROR('[P023_LingoCGM_CGM_Report_FIXED.xlsx]Study Export'!U$3,"")</f>
        <v/>
      </c>
      <c r="V28" s="56">
        <f>IFERROR('[P023_LingoCGM_CGM_Report_FIXED.xlsx]Study Export'!V$3,"")</f>
        <v/>
      </c>
      <c r="W28" s="56">
        <f>IFERROR('[P023_LingoCGM_CGM_Report_FIXED.xlsx]Study Export'!W$3,"")</f>
        <v/>
      </c>
      <c r="X28" s="56">
        <f>IFERROR('[P023_LingoCGM_CGM_Report_FIXED.xlsx]Study Export'!X$3,"")</f>
        <v/>
      </c>
      <c r="Y28" s="56">
        <f>IFERROR('[P023_LingoCGM_CGM_Report_FIXED.xlsx]Study Export'!Y$3,"")</f>
        <v/>
      </c>
      <c r="Z28" s="56">
        <f>IFERROR('[P023_LingoCGM_CGM_Report_FIXED.xlsx]Study Export'!Z$3,"")</f>
        <v/>
      </c>
      <c r="AA28" s="56">
        <f>IFERROR('[P023_LingoCGM_CGM_Report_FIXED.xlsx]Study Export'!AA$3,"")</f>
        <v/>
      </c>
      <c r="AB28" s="56">
        <f>IFERROR('[P023_LingoCGM_CGM_Report_FIXED.xlsx]Study Export'!AB$3,"")</f>
        <v/>
      </c>
      <c r="AC28" s="56">
        <f>IFERROR('[P023_LingoCGM_CGM_Report_FIXED.xlsx]Study Export'!AC$3,"")</f>
        <v/>
      </c>
      <c r="AD28" s="56">
        <f>IFERROR('[P023_LingoCGM_CGM_Report_FIXED.xlsx]Study Export'!AD$3,"")</f>
        <v/>
      </c>
      <c r="AE28" s="56">
        <f>IFERROR('[P023_LingoCGM_CGM_Report_FIXED.xlsx]Study Export'!AE$3,"")</f>
        <v/>
      </c>
      <c r="AF28" s="56">
        <f>IFERROR('[P023_LingoCGM_CGM_Report_FIXED.xlsx]Study Export'!AF$3,"")</f>
        <v/>
      </c>
      <c r="AG28" s="56">
        <f>IFERROR('[P023_LingoCGM_CGM_Report_FIXED.xlsx]Study Export'!AG$3,"")</f>
        <v/>
      </c>
      <c r="AH28" s="27">
        <f>IFERROR('[P023_LingoCGM_CGM_Report_FIXED.xlsx]Study Export'!AH$3,"")</f>
        <v/>
      </c>
      <c r="AI28" s="27">
        <f>IFERROR('[P023_LingoCGM_CGM_Report_FIXED.xlsx]Study Export'!AI$3,"")</f>
        <v/>
      </c>
      <c r="AJ28" s="27">
        <f>IFERROR('[P023_LingoCGM_CGM_Report_FIXED.xlsx]Study Export'!AJ$3,"")</f>
        <v/>
      </c>
      <c r="AK28" s="27">
        <f>IFERROR('[P023_LingoCGM_CGM_Report_FIXED.xlsx]Study Export'!AK$3,"")</f>
        <v/>
      </c>
      <c r="AL28" s="27">
        <f>IFERROR('[P023_LingoCGM_CGM_Report_FIXED.xlsx]Study Export'!AL$3,"")</f>
        <v/>
      </c>
      <c r="AM28" s="27">
        <f>IFERROR('[P023_LingoCGM_CGM_Report_FIXED.xlsx]Study Export'!AM$3,"")</f>
        <v/>
      </c>
      <c r="AN28" s="27">
        <f>IFERROR('[P023_LingoCGM_CGM_Report_FIXED.xlsx]Study Export'!AN$3,"")</f>
        <v/>
      </c>
      <c r="AO28" s="27">
        <f>IFERROR('[P023_LingoCGM_CGM_Report_FIXED.xlsx]Study Export'!AO$3,"")</f>
        <v/>
      </c>
      <c r="AP28" s="27">
        <f>IFERROR('[P023_LingoCGM_CGM_Report_FIXED.xlsx]Study Export'!AP$3,"")</f>
        <v/>
      </c>
      <c r="AQ28" s="27">
        <f>IFERROR('[P023_LingoCGM_CGM_Report_FIXED.xlsx]Study Export'!AQ$3,"")</f>
        <v/>
      </c>
      <c r="AR28" s="27">
        <f>IFERROR('[P023_LingoCGM_CGM_Report_FIXED.xlsx]Study Export'!AR$3,"")</f>
        <v/>
      </c>
      <c r="AS28" s="27">
        <f>IFERROR('[P023_LingoCGM_CGM_Report_FIXED.xlsx]Study Export'!AS$3,"")</f>
        <v/>
      </c>
      <c r="AT28" s="47">
        <f>IFERROR('[P023_LingoCGM_CGM_Report_FIXED.xlsx]Study Export'!AT$3,"")</f>
        <v/>
      </c>
      <c r="AU28" s="47">
        <f>IFERROR('[P023_LingoCGM_CGM_Report_FIXED.xlsx]Study Export'!AU$3,"")</f>
        <v/>
      </c>
      <c r="AV28" s="47">
        <f>IFERROR('[P023_LingoCGM_CGM_Report_FIXED.xlsx]Study Export'!AV$3,"")</f>
        <v/>
      </c>
      <c r="AW28" s="56">
        <f>IFERROR('[P023_LingoCGM_CGM_Report_FIXED.xlsx]Study Export'!AW$3,"")</f>
        <v/>
      </c>
      <c r="AX28" s="56">
        <f>IFERROR('[P023_LingoCGM_CGM_Report_FIXED.xlsx]Study Export'!AX$3,"")</f>
        <v/>
      </c>
      <c r="AY28" s="56">
        <f>IFERROR('[P023_LingoCGM_CGM_Report_FIXED.xlsx]Study Export'!AY$3,"")</f>
        <v/>
      </c>
      <c r="AZ28" s="47">
        <f>IFERROR('[P023_LingoCGM_CGM_Report_FIXED.xlsx]Study Export'!AZ$3,"")</f>
        <v/>
      </c>
      <c r="BA28" s="47">
        <f>IFERROR('[P023_LingoCGM_CGM_Report_FIXED.xlsx]Study Export'!BA$3,"")</f>
        <v/>
      </c>
      <c r="BB28" s="47">
        <f>IFERROR('[P023_LingoCGM_CGM_Report_FIXED.xlsx]Study Export'!BB$3,"")</f>
        <v/>
      </c>
      <c r="BC28" s="27">
        <f>IFERROR('[P023_LingoCGM_CGM_Report_FIXED.xlsx]Study Export'!BC$3,"")</f>
        <v/>
      </c>
      <c r="BD28" s="27">
        <f>IFERROR('[P023_LingoCGM_CGM_Report_FIXED.xlsx]Study Export'!BD$3,"")</f>
        <v/>
      </c>
      <c r="BE28" s="27">
        <f>IFERROR('[P023_LingoCGM_CGM_Report_FIXED.xlsx]Study Export'!BE$3,"")</f>
        <v/>
      </c>
      <c r="BF28" s="47">
        <f>IFERROR('[P023_LingoCGM_CGM_Report_FIXED.xlsx]Study Export'!BF$3,"")</f>
        <v/>
      </c>
      <c r="BG28" s="47">
        <f>IFERROR('[P023_LingoCGM_CGM_Report_FIXED.xlsx]Study Export'!BG$3,"")</f>
        <v/>
      </c>
      <c r="BH28" s="47">
        <f>IFERROR('[P023_LingoCGM_CGM_Report_FIXED.xlsx]Study Export'!BH$3,"")</f>
        <v/>
      </c>
      <c r="BI28" s="47">
        <f>IFERROR('[P023_LingoCGM_CGM_Report_FIXED.xlsx]Study Export'!BI$3,"")</f>
        <v/>
      </c>
      <c r="BJ28" s="47">
        <f>IFERROR('[P023_LingoCGM_CGM_Report_FIXED.xlsx]Study Export'!BJ$3,"")</f>
        <v/>
      </c>
      <c r="BK28" s="47">
        <f>IFERROR('[P023_LingoCGM_CGM_Report_FIXED.xlsx]Study Export'!BK$3,"")</f>
        <v/>
      </c>
      <c r="BL28" s="47">
        <f>IFERROR('[P023_LingoCGM_CGM_Report_FIXED.xlsx]Study Export'!BL$3,"")</f>
        <v/>
      </c>
      <c r="BM28" s="47">
        <f>IFERROR('[P023_LingoCGM_CGM_Report_FIXED.xlsx]Study Export'!BM$3,"")</f>
        <v/>
      </c>
      <c r="BN28" s="47">
        <f>IFERROR('[P023_LingoCGM_CGM_Report_FIXED.xlsx]Study Export'!BN$3,"")</f>
        <v/>
      </c>
      <c r="BO28" s="47">
        <f>IFERROR('[P023_LingoCGM_CGM_Report_FIXED.xlsx]Study Export'!BO$3,"")</f>
        <v/>
      </c>
      <c r="BP28" s="47">
        <f>IFERROR('[P023_LingoCGM_CGM_Report_FIXED.xlsx]Study Export'!BP$3,"")</f>
        <v/>
      </c>
      <c r="BQ28" s="47">
        <f>IFERROR('[P023_LingoCGM_CGM_Report_FIXED.xlsx]Study Export'!BQ$3,"")</f>
        <v/>
      </c>
      <c r="BR28" s="47">
        <f>IFERROR('[P023_LingoCGM_CGM_Report_FIXED.xlsx]Study Export'!BR$3,"")</f>
        <v/>
      </c>
      <c r="BS28" s="47">
        <f>IFERROR('[P023_LingoCGM_CGM_Report_FIXED.xlsx]Study Export'!BS$3,"")</f>
        <v/>
      </c>
      <c r="BT28" s="47">
        <f>IFERROR('[P023_LingoCGM_CGM_Report_FIXED.xlsx]Study Export'!BT$3,"")</f>
        <v/>
      </c>
      <c r="BU28" s="47">
        <f>IFERROR('[P023_LingoCGM_CGM_Report_FIXED.xlsx]Study Export'!BU$3,"")</f>
        <v/>
      </c>
      <c r="BV28" s="47">
        <f>IFERROR('[P023_LingoCGM_CGM_Report_FIXED.xlsx]Study Export'!BV$3,"")</f>
        <v/>
      </c>
      <c r="BW28" s="47">
        <f>IFERROR('[P023_LingoCGM_CGM_Report_FIXED.xlsx]Study Export'!BW$3,"")</f>
        <v/>
      </c>
      <c r="BX28">
        <f>IFERROR('[P023_LingoCGM_CGM_Report_FIXED.xlsx]Study Export'!BX$3,"")</f>
        <v/>
      </c>
      <c r="BY28" s="57">
        <f>IFERROR('[P023_LingoCGM_CGM_Report_FIXED.xlsx]Study Export'!BY$3,"")</f>
        <v/>
      </c>
      <c r="BZ28" s="57">
        <f>IFERROR('[P023_LingoCGM_CGM_Report_FIXED.xlsx]Study Export'!BZ$3,"")</f>
        <v/>
      </c>
      <c r="CA28" s="57">
        <f>IFERROR('[P023_LingoCGM_CGM_Report_FIXED.xlsx]Study Export'!CA$3,"")</f>
        <v/>
      </c>
      <c r="CB28" s="58">
        <f>IFERROR('[P023_LingoCGM_CGM_Report_FIXED.xlsx]Study Export'!CB$3,"")</f>
        <v/>
      </c>
      <c r="CC28" s="59">
        <f>IFERROR('[P023_LingoCGM_CGM_Report_FIXED.xlsx]Study Export'!CC$3,"")</f>
        <v/>
      </c>
      <c r="CD28">
        <f>IFERROR('[P023_LingoCGM_CGM_Report_FIXED.xlsx]Study Export'!CD$3,"")</f>
        <v/>
      </c>
      <c r="CE28">
        <f>IFERROR('[P023_LingoCGM_CGM_Report_FIXED.xlsx]Study Export'!CE$3,"")</f>
        <v/>
      </c>
      <c r="CF28" s="60">
        <f>IFERROR('[P023_LingoCGM_CGM_Report_FIXED.xlsx]Study Export'!CF$3,"")</f>
        <v/>
      </c>
      <c r="CG28" s="60">
        <f>IFERROR('[P023_LingoCGM_CGM_Report_FIXED.xlsx]Study Export'!CG$3,"")</f>
        <v/>
      </c>
      <c r="CH28">
        <f>IFERROR('[P023_LingoCGM_CGM_Report_FIXED.xlsx]Study Export'!CH$3,"")</f>
        <v/>
      </c>
    </row>
    <row r="29">
      <c r="A29" s="24">
        <f>IFERROR('[P024_LingoCGM_CGM_Report_FIXED.xlsx]Study Export'!A$3,"")</f>
        <v/>
      </c>
      <c r="B29" s="24">
        <f>IFERROR('[P024_LingoCGM_CGM_Report_FIXED.xlsx]Study Export'!B$3,"")</f>
        <v/>
      </c>
      <c r="C29" s="24">
        <f>IFERROR('[P024_LingoCGM_CGM_Report_FIXED.xlsx]Study Export'!C$3,"")</f>
        <v/>
      </c>
      <c r="D29" s="24">
        <f>IFERROR('[P024_LingoCGM_CGM_Report_FIXED.xlsx]Study Export'!D$3,"")</f>
        <v/>
      </c>
      <c r="E29" s="55">
        <f>IFERROR('[P024_LingoCGM_CGM_Report_FIXED.xlsx]Study Export'!E$3,"")</f>
        <v/>
      </c>
      <c r="F29" s="26">
        <f>IFERROR('[P024_LingoCGM_CGM_Report_FIXED.xlsx]Study Export'!F$3,"")</f>
        <v/>
      </c>
      <c r="G29" s="26">
        <f>IFERROR('[P024_LingoCGM_CGM_Report_FIXED.xlsx]Study Export'!G$3,"")</f>
        <v/>
      </c>
      <c r="H29" s="47">
        <f>IFERROR('[P024_LingoCGM_CGM_Report_FIXED.xlsx]Study Export'!H$3,"")</f>
        <v/>
      </c>
      <c r="I29" s="26">
        <f>IFERROR('[P024_LingoCGM_CGM_Report_FIXED.xlsx]Study Export'!I$3,"")</f>
        <v/>
      </c>
      <c r="J29" s="26">
        <f>IFERROR('[P024_LingoCGM_CGM_Report_FIXED.xlsx]Study Export'!J$3,"")</f>
        <v/>
      </c>
      <c r="K29" s="47">
        <f>IFERROR('[P024_LingoCGM_CGM_Report_FIXED.xlsx]Study Export'!K$3,"")</f>
        <v/>
      </c>
      <c r="L29" s="47">
        <f>IFERROR('[P024_LingoCGM_CGM_Report_FIXED.xlsx]Study Export'!L$3,"")</f>
        <v/>
      </c>
      <c r="M29" s="47">
        <f>IFERROR('[P024_LingoCGM_CGM_Report_FIXED.xlsx]Study Export'!M$3,"")</f>
        <v/>
      </c>
      <c r="N29" s="47">
        <f>IFERROR('[P024_LingoCGM_CGM_Report_FIXED.xlsx]Study Export'!N$3,"")</f>
        <v/>
      </c>
      <c r="O29" s="47">
        <f>IFERROR('[P024_LingoCGM_CGM_Report_FIXED.xlsx]Study Export'!O$3,"")</f>
        <v/>
      </c>
      <c r="P29" s="27">
        <f>IFERROR('[P024_LingoCGM_CGM_Report_FIXED.xlsx]Study Export'!P$3,"")</f>
        <v/>
      </c>
      <c r="Q29" s="27">
        <f>IFERROR('[P024_LingoCGM_CGM_Report_FIXED.xlsx]Study Export'!Q$3,"")</f>
        <v/>
      </c>
      <c r="R29" s="27">
        <f>IFERROR('[P024_LingoCGM_CGM_Report_FIXED.xlsx]Study Export'!R$3,"")</f>
        <v/>
      </c>
      <c r="S29" s="56">
        <f>IFERROR('[P024_LingoCGM_CGM_Report_FIXED.xlsx]Study Export'!S$3,"")</f>
        <v/>
      </c>
      <c r="T29" s="56">
        <f>IFERROR('[P024_LingoCGM_CGM_Report_FIXED.xlsx]Study Export'!T$3,"")</f>
        <v/>
      </c>
      <c r="U29" s="56">
        <f>IFERROR('[P024_LingoCGM_CGM_Report_FIXED.xlsx]Study Export'!U$3,"")</f>
        <v/>
      </c>
      <c r="V29" s="56">
        <f>IFERROR('[P024_LingoCGM_CGM_Report_FIXED.xlsx]Study Export'!V$3,"")</f>
        <v/>
      </c>
      <c r="W29" s="56">
        <f>IFERROR('[P024_LingoCGM_CGM_Report_FIXED.xlsx]Study Export'!W$3,"")</f>
        <v/>
      </c>
      <c r="X29" s="56">
        <f>IFERROR('[P024_LingoCGM_CGM_Report_FIXED.xlsx]Study Export'!X$3,"")</f>
        <v/>
      </c>
      <c r="Y29" s="56">
        <f>IFERROR('[P024_LingoCGM_CGM_Report_FIXED.xlsx]Study Export'!Y$3,"")</f>
        <v/>
      </c>
      <c r="Z29" s="56">
        <f>IFERROR('[P024_LingoCGM_CGM_Report_FIXED.xlsx]Study Export'!Z$3,"")</f>
        <v/>
      </c>
      <c r="AA29" s="56">
        <f>IFERROR('[P024_LingoCGM_CGM_Report_FIXED.xlsx]Study Export'!AA$3,"")</f>
        <v/>
      </c>
      <c r="AB29" s="56">
        <f>IFERROR('[P024_LingoCGM_CGM_Report_FIXED.xlsx]Study Export'!AB$3,"")</f>
        <v/>
      </c>
      <c r="AC29" s="56">
        <f>IFERROR('[P024_LingoCGM_CGM_Report_FIXED.xlsx]Study Export'!AC$3,"")</f>
        <v/>
      </c>
      <c r="AD29" s="56">
        <f>IFERROR('[P024_LingoCGM_CGM_Report_FIXED.xlsx]Study Export'!AD$3,"")</f>
        <v/>
      </c>
      <c r="AE29" s="56">
        <f>IFERROR('[P024_LingoCGM_CGM_Report_FIXED.xlsx]Study Export'!AE$3,"")</f>
        <v/>
      </c>
      <c r="AF29" s="56">
        <f>IFERROR('[P024_LingoCGM_CGM_Report_FIXED.xlsx]Study Export'!AF$3,"")</f>
        <v/>
      </c>
      <c r="AG29" s="56">
        <f>IFERROR('[P024_LingoCGM_CGM_Report_FIXED.xlsx]Study Export'!AG$3,"")</f>
        <v/>
      </c>
      <c r="AH29" s="27">
        <f>IFERROR('[P024_LingoCGM_CGM_Report_FIXED.xlsx]Study Export'!AH$3,"")</f>
        <v/>
      </c>
      <c r="AI29" s="27">
        <f>IFERROR('[P024_LingoCGM_CGM_Report_FIXED.xlsx]Study Export'!AI$3,"")</f>
        <v/>
      </c>
      <c r="AJ29" s="27">
        <f>IFERROR('[P024_LingoCGM_CGM_Report_FIXED.xlsx]Study Export'!AJ$3,"")</f>
        <v/>
      </c>
      <c r="AK29" s="27">
        <f>IFERROR('[P024_LingoCGM_CGM_Report_FIXED.xlsx]Study Export'!AK$3,"")</f>
        <v/>
      </c>
      <c r="AL29" s="27">
        <f>IFERROR('[P024_LingoCGM_CGM_Report_FIXED.xlsx]Study Export'!AL$3,"")</f>
        <v/>
      </c>
      <c r="AM29" s="27">
        <f>IFERROR('[P024_LingoCGM_CGM_Report_FIXED.xlsx]Study Export'!AM$3,"")</f>
        <v/>
      </c>
      <c r="AN29" s="27">
        <f>IFERROR('[P024_LingoCGM_CGM_Report_FIXED.xlsx]Study Export'!AN$3,"")</f>
        <v/>
      </c>
      <c r="AO29" s="27">
        <f>IFERROR('[P024_LingoCGM_CGM_Report_FIXED.xlsx]Study Export'!AO$3,"")</f>
        <v/>
      </c>
      <c r="AP29" s="27">
        <f>IFERROR('[P024_LingoCGM_CGM_Report_FIXED.xlsx]Study Export'!AP$3,"")</f>
        <v/>
      </c>
      <c r="AQ29" s="27">
        <f>IFERROR('[P024_LingoCGM_CGM_Report_FIXED.xlsx]Study Export'!AQ$3,"")</f>
        <v/>
      </c>
      <c r="AR29" s="27">
        <f>IFERROR('[P024_LingoCGM_CGM_Report_FIXED.xlsx]Study Export'!AR$3,"")</f>
        <v/>
      </c>
      <c r="AS29" s="27">
        <f>IFERROR('[P024_LingoCGM_CGM_Report_FIXED.xlsx]Study Export'!AS$3,"")</f>
        <v/>
      </c>
      <c r="AT29" s="47">
        <f>IFERROR('[P024_LingoCGM_CGM_Report_FIXED.xlsx]Study Export'!AT$3,"")</f>
        <v/>
      </c>
      <c r="AU29" s="47">
        <f>IFERROR('[P024_LingoCGM_CGM_Report_FIXED.xlsx]Study Export'!AU$3,"")</f>
        <v/>
      </c>
      <c r="AV29" s="47">
        <f>IFERROR('[P024_LingoCGM_CGM_Report_FIXED.xlsx]Study Export'!AV$3,"")</f>
        <v/>
      </c>
      <c r="AW29" s="56">
        <f>IFERROR('[P024_LingoCGM_CGM_Report_FIXED.xlsx]Study Export'!AW$3,"")</f>
        <v/>
      </c>
      <c r="AX29" s="56">
        <f>IFERROR('[P024_LingoCGM_CGM_Report_FIXED.xlsx]Study Export'!AX$3,"")</f>
        <v/>
      </c>
      <c r="AY29" s="56">
        <f>IFERROR('[P024_LingoCGM_CGM_Report_FIXED.xlsx]Study Export'!AY$3,"")</f>
        <v/>
      </c>
      <c r="AZ29" s="47">
        <f>IFERROR('[P024_LingoCGM_CGM_Report_FIXED.xlsx]Study Export'!AZ$3,"")</f>
        <v/>
      </c>
      <c r="BA29" s="47">
        <f>IFERROR('[P024_LingoCGM_CGM_Report_FIXED.xlsx]Study Export'!BA$3,"")</f>
        <v/>
      </c>
      <c r="BB29" s="47">
        <f>IFERROR('[P024_LingoCGM_CGM_Report_FIXED.xlsx]Study Export'!BB$3,"")</f>
        <v/>
      </c>
      <c r="BC29" s="27">
        <f>IFERROR('[P024_LingoCGM_CGM_Report_FIXED.xlsx]Study Export'!BC$3,"")</f>
        <v/>
      </c>
      <c r="BD29" s="27">
        <f>IFERROR('[P024_LingoCGM_CGM_Report_FIXED.xlsx]Study Export'!BD$3,"")</f>
        <v/>
      </c>
      <c r="BE29" s="27">
        <f>IFERROR('[P024_LingoCGM_CGM_Report_FIXED.xlsx]Study Export'!BE$3,"")</f>
        <v/>
      </c>
      <c r="BF29" s="47">
        <f>IFERROR('[P024_LingoCGM_CGM_Report_FIXED.xlsx]Study Export'!BF$3,"")</f>
        <v/>
      </c>
      <c r="BG29" s="47">
        <f>IFERROR('[P024_LingoCGM_CGM_Report_FIXED.xlsx]Study Export'!BG$3,"")</f>
        <v/>
      </c>
      <c r="BH29" s="47">
        <f>IFERROR('[P024_LingoCGM_CGM_Report_FIXED.xlsx]Study Export'!BH$3,"")</f>
        <v/>
      </c>
      <c r="BI29" s="47">
        <f>IFERROR('[P024_LingoCGM_CGM_Report_FIXED.xlsx]Study Export'!BI$3,"")</f>
        <v/>
      </c>
      <c r="BJ29" s="47">
        <f>IFERROR('[P024_LingoCGM_CGM_Report_FIXED.xlsx]Study Export'!BJ$3,"")</f>
        <v/>
      </c>
      <c r="BK29" s="47">
        <f>IFERROR('[P024_LingoCGM_CGM_Report_FIXED.xlsx]Study Export'!BK$3,"")</f>
        <v/>
      </c>
      <c r="BL29" s="47">
        <f>IFERROR('[P024_LingoCGM_CGM_Report_FIXED.xlsx]Study Export'!BL$3,"")</f>
        <v/>
      </c>
      <c r="BM29" s="47">
        <f>IFERROR('[P024_LingoCGM_CGM_Report_FIXED.xlsx]Study Export'!BM$3,"")</f>
        <v/>
      </c>
      <c r="BN29" s="47">
        <f>IFERROR('[P024_LingoCGM_CGM_Report_FIXED.xlsx]Study Export'!BN$3,"")</f>
        <v/>
      </c>
      <c r="BO29" s="47">
        <f>IFERROR('[P024_LingoCGM_CGM_Report_FIXED.xlsx]Study Export'!BO$3,"")</f>
        <v/>
      </c>
      <c r="BP29" s="47">
        <f>IFERROR('[P024_LingoCGM_CGM_Report_FIXED.xlsx]Study Export'!BP$3,"")</f>
        <v/>
      </c>
      <c r="BQ29" s="47">
        <f>IFERROR('[P024_LingoCGM_CGM_Report_FIXED.xlsx]Study Export'!BQ$3,"")</f>
        <v/>
      </c>
      <c r="BR29" s="47">
        <f>IFERROR('[P024_LingoCGM_CGM_Report_FIXED.xlsx]Study Export'!BR$3,"")</f>
        <v/>
      </c>
      <c r="BS29" s="47">
        <f>IFERROR('[P024_LingoCGM_CGM_Report_FIXED.xlsx]Study Export'!BS$3,"")</f>
        <v/>
      </c>
      <c r="BT29" s="47">
        <f>IFERROR('[P024_LingoCGM_CGM_Report_FIXED.xlsx]Study Export'!BT$3,"")</f>
        <v/>
      </c>
      <c r="BU29" s="47">
        <f>IFERROR('[P024_LingoCGM_CGM_Report_FIXED.xlsx]Study Export'!BU$3,"")</f>
        <v/>
      </c>
      <c r="BV29" s="47">
        <f>IFERROR('[P024_LingoCGM_CGM_Report_FIXED.xlsx]Study Export'!BV$3,"")</f>
        <v/>
      </c>
      <c r="BW29" s="47">
        <f>IFERROR('[P024_LingoCGM_CGM_Report_FIXED.xlsx]Study Export'!BW$3,"")</f>
        <v/>
      </c>
      <c r="BX29">
        <f>IFERROR('[P024_LingoCGM_CGM_Report_FIXED.xlsx]Study Export'!BX$3,"")</f>
        <v/>
      </c>
      <c r="BY29" s="57">
        <f>IFERROR('[P024_LingoCGM_CGM_Report_FIXED.xlsx]Study Export'!BY$3,"")</f>
        <v/>
      </c>
      <c r="BZ29" s="57">
        <f>IFERROR('[P024_LingoCGM_CGM_Report_FIXED.xlsx]Study Export'!BZ$3,"")</f>
        <v/>
      </c>
      <c r="CA29" s="57">
        <f>IFERROR('[P024_LingoCGM_CGM_Report_FIXED.xlsx]Study Export'!CA$3,"")</f>
        <v/>
      </c>
      <c r="CB29" s="58">
        <f>IFERROR('[P024_LingoCGM_CGM_Report_FIXED.xlsx]Study Export'!CB$3,"")</f>
        <v/>
      </c>
      <c r="CC29" s="59">
        <f>IFERROR('[P024_LingoCGM_CGM_Report_FIXED.xlsx]Study Export'!CC$3,"")</f>
        <v/>
      </c>
      <c r="CD29">
        <f>IFERROR('[P024_LingoCGM_CGM_Report_FIXED.xlsx]Study Export'!CD$3,"")</f>
        <v/>
      </c>
      <c r="CE29">
        <f>IFERROR('[P024_LingoCGM_CGM_Report_FIXED.xlsx]Study Export'!CE$3,"")</f>
        <v/>
      </c>
      <c r="CF29" s="60">
        <f>IFERROR('[P024_LingoCGM_CGM_Report_FIXED.xlsx]Study Export'!CF$3,"")</f>
        <v/>
      </c>
      <c r="CG29" s="60">
        <f>IFERROR('[P024_LingoCGM_CGM_Report_FIXED.xlsx]Study Export'!CG$3,"")</f>
        <v/>
      </c>
      <c r="CH29">
        <f>IFERROR('[P024_LingoCGM_CGM_Report_FIXED.xlsx]Study Export'!CH$3,"")</f>
        <v/>
      </c>
    </row>
    <row r="30">
      <c r="A30" s="24">
        <f>IFERROR('[P025_LingoCGM_CGM_Report_FIXED.xlsx]Study Export'!A$3,"")</f>
        <v/>
      </c>
      <c r="B30" s="24">
        <f>IFERROR('[P025_LingoCGM_CGM_Report_FIXED.xlsx]Study Export'!B$3,"")</f>
        <v/>
      </c>
      <c r="C30" s="24">
        <f>IFERROR('[P025_LingoCGM_CGM_Report_FIXED.xlsx]Study Export'!C$3,"")</f>
        <v/>
      </c>
      <c r="D30" s="24">
        <f>IFERROR('[P025_LingoCGM_CGM_Report_FIXED.xlsx]Study Export'!D$3,"")</f>
        <v/>
      </c>
      <c r="E30" s="55">
        <f>IFERROR('[P025_LingoCGM_CGM_Report_FIXED.xlsx]Study Export'!E$3,"")</f>
        <v/>
      </c>
      <c r="F30" s="26">
        <f>IFERROR('[P025_LingoCGM_CGM_Report_FIXED.xlsx]Study Export'!F$3,"")</f>
        <v/>
      </c>
      <c r="G30" s="26">
        <f>IFERROR('[P025_LingoCGM_CGM_Report_FIXED.xlsx]Study Export'!G$3,"")</f>
        <v/>
      </c>
      <c r="H30" s="47">
        <f>IFERROR('[P025_LingoCGM_CGM_Report_FIXED.xlsx]Study Export'!H$3,"")</f>
        <v/>
      </c>
      <c r="I30" s="26">
        <f>IFERROR('[P025_LingoCGM_CGM_Report_FIXED.xlsx]Study Export'!I$3,"")</f>
        <v/>
      </c>
      <c r="J30" s="26">
        <f>IFERROR('[P025_LingoCGM_CGM_Report_FIXED.xlsx]Study Export'!J$3,"")</f>
        <v/>
      </c>
      <c r="K30" s="47">
        <f>IFERROR('[P025_LingoCGM_CGM_Report_FIXED.xlsx]Study Export'!K$3,"")</f>
        <v/>
      </c>
      <c r="L30" s="47">
        <f>IFERROR('[P025_LingoCGM_CGM_Report_FIXED.xlsx]Study Export'!L$3,"")</f>
        <v/>
      </c>
      <c r="M30" s="47">
        <f>IFERROR('[P025_LingoCGM_CGM_Report_FIXED.xlsx]Study Export'!M$3,"")</f>
        <v/>
      </c>
      <c r="N30" s="47">
        <f>IFERROR('[P025_LingoCGM_CGM_Report_FIXED.xlsx]Study Export'!N$3,"")</f>
        <v/>
      </c>
      <c r="O30" s="47">
        <f>IFERROR('[P025_LingoCGM_CGM_Report_FIXED.xlsx]Study Export'!O$3,"")</f>
        <v/>
      </c>
      <c r="P30" s="27">
        <f>IFERROR('[P025_LingoCGM_CGM_Report_FIXED.xlsx]Study Export'!P$3,"")</f>
        <v/>
      </c>
      <c r="Q30" s="27">
        <f>IFERROR('[P025_LingoCGM_CGM_Report_FIXED.xlsx]Study Export'!Q$3,"")</f>
        <v/>
      </c>
      <c r="R30" s="27">
        <f>IFERROR('[P025_LingoCGM_CGM_Report_FIXED.xlsx]Study Export'!R$3,"")</f>
        <v/>
      </c>
      <c r="S30" s="56">
        <f>IFERROR('[P025_LingoCGM_CGM_Report_FIXED.xlsx]Study Export'!S$3,"")</f>
        <v/>
      </c>
      <c r="T30" s="56">
        <f>IFERROR('[P025_LingoCGM_CGM_Report_FIXED.xlsx]Study Export'!T$3,"")</f>
        <v/>
      </c>
      <c r="U30" s="56">
        <f>IFERROR('[P025_LingoCGM_CGM_Report_FIXED.xlsx]Study Export'!U$3,"")</f>
        <v/>
      </c>
      <c r="V30" s="56">
        <f>IFERROR('[P025_LingoCGM_CGM_Report_FIXED.xlsx]Study Export'!V$3,"")</f>
        <v/>
      </c>
      <c r="W30" s="56">
        <f>IFERROR('[P025_LingoCGM_CGM_Report_FIXED.xlsx]Study Export'!W$3,"")</f>
        <v/>
      </c>
      <c r="X30" s="56">
        <f>IFERROR('[P025_LingoCGM_CGM_Report_FIXED.xlsx]Study Export'!X$3,"")</f>
        <v/>
      </c>
      <c r="Y30" s="56">
        <f>IFERROR('[P025_LingoCGM_CGM_Report_FIXED.xlsx]Study Export'!Y$3,"")</f>
        <v/>
      </c>
      <c r="Z30" s="56">
        <f>IFERROR('[P025_LingoCGM_CGM_Report_FIXED.xlsx]Study Export'!Z$3,"")</f>
        <v/>
      </c>
      <c r="AA30" s="56">
        <f>IFERROR('[P025_LingoCGM_CGM_Report_FIXED.xlsx]Study Export'!AA$3,"")</f>
        <v/>
      </c>
      <c r="AB30" s="56">
        <f>IFERROR('[P025_LingoCGM_CGM_Report_FIXED.xlsx]Study Export'!AB$3,"")</f>
        <v/>
      </c>
      <c r="AC30" s="56">
        <f>IFERROR('[P025_LingoCGM_CGM_Report_FIXED.xlsx]Study Export'!AC$3,"")</f>
        <v/>
      </c>
      <c r="AD30" s="56">
        <f>IFERROR('[P025_LingoCGM_CGM_Report_FIXED.xlsx]Study Export'!AD$3,"")</f>
        <v/>
      </c>
      <c r="AE30" s="56">
        <f>IFERROR('[P025_LingoCGM_CGM_Report_FIXED.xlsx]Study Export'!AE$3,"")</f>
        <v/>
      </c>
      <c r="AF30" s="56">
        <f>IFERROR('[P025_LingoCGM_CGM_Report_FIXED.xlsx]Study Export'!AF$3,"")</f>
        <v/>
      </c>
      <c r="AG30" s="56">
        <f>IFERROR('[P025_LingoCGM_CGM_Report_FIXED.xlsx]Study Export'!AG$3,"")</f>
        <v/>
      </c>
      <c r="AH30" s="27">
        <f>IFERROR('[P025_LingoCGM_CGM_Report_FIXED.xlsx]Study Export'!AH$3,"")</f>
        <v/>
      </c>
      <c r="AI30" s="27">
        <f>IFERROR('[P025_LingoCGM_CGM_Report_FIXED.xlsx]Study Export'!AI$3,"")</f>
        <v/>
      </c>
      <c r="AJ30" s="27">
        <f>IFERROR('[P025_LingoCGM_CGM_Report_FIXED.xlsx]Study Export'!AJ$3,"")</f>
        <v/>
      </c>
      <c r="AK30" s="27">
        <f>IFERROR('[P025_LingoCGM_CGM_Report_FIXED.xlsx]Study Export'!AK$3,"")</f>
        <v/>
      </c>
      <c r="AL30" s="27">
        <f>IFERROR('[P025_LingoCGM_CGM_Report_FIXED.xlsx]Study Export'!AL$3,"")</f>
        <v/>
      </c>
      <c r="AM30" s="27">
        <f>IFERROR('[P025_LingoCGM_CGM_Report_FIXED.xlsx]Study Export'!AM$3,"")</f>
        <v/>
      </c>
      <c r="AN30" s="27">
        <f>IFERROR('[P025_LingoCGM_CGM_Report_FIXED.xlsx]Study Export'!AN$3,"")</f>
        <v/>
      </c>
      <c r="AO30" s="27">
        <f>IFERROR('[P025_LingoCGM_CGM_Report_FIXED.xlsx]Study Export'!AO$3,"")</f>
        <v/>
      </c>
      <c r="AP30" s="27">
        <f>IFERROR('[P025_LingoCGM_CGM_Report_FIXED.xlsx]Study Export'!AP$3,"")</f>
        <v/>
      </c>
      <c r="AQ30" s="27">
        <f>IFERROR('[P025_LingoCGM_CGM_Report_FIXED.xlsx]Study Export'!AQ$3,"")</f>
        <v/>
      </c>
      <c r="AR30" s="27">
        <f>IFERROR('[P025_LingoCGM_CGM_Report_FIXED.xlsx]Study Export'!AR$3,"")</f>
        <v/>
      </c>
      <c r="AS30" s="27">
        <f>IFERROR('[P025_LingoCGM_CGM_Report_FIXED.xlsx]Study Export'!AS$3,"")</f>
        <v/>
      </c>
      <c r="AT30" s="47">
        <f>IFERROR('[P025_LingoCGM_CGM_Report_FIXED.xlsx]Study Export'!AT$3,"")</f>
        <v/>
      </c>
      <c r="AU30" s="47">
        <f>IFERROR('[P025_LingoCGM_CGM_Report_FIXED.xlsx]Study Export'!AU$3,"")</f>
        <v/>
      </c>
      <c r="AV30" s="47">
        <f>IFERROR('[P025_LingoCGM_CGM_Report_FIXED.xlsx]Study Export'!AV$3,"")</f>
        <v/>
      </c>
      <c r="AW30" s="56">
        <f>IFERROR('[P025_LingoCGM_CGM_Report_FIXED.xlsx]Study Export'!AW$3,"")</f>
        <v/>
      </c>
      <c r="AX30" s="56">
        <f>IFERROR('[P025_LingoCGM_CGM_Report_FIXED.xlsx]Study Export'!AX$3,"")</f>
        <v/>
      </c>
      <c r="AY30" s="56">
        <f>IFERROR('[P025_LingoCGM_CGM_Report_FIXED.xlsx]Study Export'!AY$3,"")</f>
        <v/>
      </c>
      <c r="AZ30" s="47">
        <f>IFERROR('[P025_LingoCGM_CGM_Report_FIXED.xlsx]Study Export'!AZ$3,"")</f>
        <v/>
      </c>
      <c r="BA30" s="47">
        <f>IFERROR('[P025_LingoCGM_CGM_Report_FIXED.xlsx]Study Export'!BA$3,"")</f>
        <v/>
      </c>
      <c r="BB30" s="47">
        <f>IFERROR('[P025_LingoCGM_CGM_Report_FIXED.xlsx]Study Export'!BB$3,"")</f>
        <v/>
      </c>
      <c r="BC30" s="27">
        <f>IFERROR('[P025_LingoCGM_CGM_Report_FIXED.xlsx]Study Export'!BC$3,"")</f>
        <v/>
      </c>
      <c r="BD30" s="27">
        <f>IFERROR('[P025_LingoCGM_CGM_Report_FIXED.xlsx]Study Export'!BD$3,"")</f>
        <v/>
      </c>
      <c r="BE30" s="27">
        <f>IFERROR('[P025_LingoCGM_CGM_Report_FIXED.xlsx]Study Export'!BE$3,"")</f>
        <v/>
      </c>
      <c r="BF30" s="47">
        <f>IFERROR('[P025_LingoCGM_CGM_Report_FIXED.xlsx]Study Export'!BF$3,"")</f>
        <v/>
      </c>
      <c r="BG30" s="47">
        <f>IFERROR('[P025_LingoCGM_CGM_Report_FIXED.xlsx]Study Export'!BG$3,"")</f>
        <v/>
      </c>
      <c r="BH30" s="47">
        <f>IFERROR('[P025_LingoCGM_CGM_Report_FIXED.xlsx]Study Export'!BH$3,"")</f>
        <v/>
      </c>
      <c r="BI30" s="47">
        <f>IFERROR('[P025_LingoCGM_CGM_Report_FIXED.xlsx]Study Export'!BI$3,"")</f>
        <v/>
      </c>
      <c r="BJ30" s="47">
        <f>IFERROR('[P025_LingoCGM_CGM_Report_FIXED.xlsx]Study Export'!BJ$3,"")</f>
        <v/>
      </c>
      <c r="BK30" s="47">
        <f>IFERROR('[P025_LingoCGM_CGM_Report_FIXED.xlsx]Study Export'!BK$3,"")</f>
        <v/>
      </c>
      <c r="BL30" s="47">
        <f>IFERROR('[P025_LingoCGM_CGM_Report_FIXED.xlsx]Study Export'!BL$3,"")</f>
        <v/>
      </c>
      <c r="BM30" s="47">
        <f>IFERROR('[P025_LingoCGM_CGM_Report_FIXED.xlsx]Study Export'!BM$3,"")</f>
        <v/>
      </c>
      <c r="BN30" s="47">
        <f>IFERROR('[P025_LingoCGM_CGM_Report_FIXED.xlsx]Study Export'!BN$3,"")</f>
        <v/>
      </c>
      <c r="BO30" s="47">
        <f>IFERROR('[P025_LingoCGM_CGM_Report_FIXED.xlsx]Study Export'!BO$3,"")</f>
        <v/>
      </c>
      <c r="BP30" s="47">
        <f>IFERROR('[P025_LingoCGM_CGM_Report_FIXED.xlsx]Study Export'!BP$3,"")</f>
        <v/>
      </c>
      <c r="BQ30" s="47">
        <f>IFERROR('[P025_LingoCGM_CGM_Report_FIXED.xlsx]Study Export'!BQ$3,"")</f>
        <v/>
      </c>
      <c r="BR30" s="47">
        <f>IFERROR('[P025_LingoCGM_CGM_Report_FIXED.xlsx]Study Export'!BR$3,"")</f>
        <v/>
      </c>
      <c r="BS30" s="47">
        <f>IFERROR('[P025_LingoCGM_CGM_Report_FIXED.xlsx]Study Export'!BS$3,"")</f>
        <v/>
      </c>
      <c r="BT30" s="47">
        <f>IFERROR('[P025_LingoCGM_CGM_Report_FIXED.xlsx]Study Export'!BT$3,"")</f>
        <v/>
      </c>
      <c r="BU30" s="47">
        <f>IFERROR('[P025_LingoCGM_CGM_Report_FIXED.xlsx]Study Export'!BU$3,"")</f>
        <v/>
      </c>
      <c r="BV30" s="47">
        <f>IFERROR('[P025_LingoCGM_CGM_Report_FIXED.xlsx]Study Export'!BV$3,"")</f>
        <v/>
      </c>
      <c r="BW30" s="47">
        <f>IFERROR('[P025_LingoCGM_CGM_Report_FIXED.xlsx]Study Export'!BW$3,"")</f>
        <v/>
      </c>
      <c r="BX30">
        <f>IFERROR('[P025_LingoCGM_CGM_Report_FIXED.xlsx]Study Export'!BX$3,"")</f>
        <v/>
      </c>
      <c r="BY30" s="57">
        <f>IFERROR('[P025_LingoCGM_CGM_Report_FIXED.xlsx]Study Export'!BY$3,"")</f>
        <v/>
      </c>
      <c r="BZ30" s="57">
        <f>IFERROR('[P025_LingoCGM_CGM_Report_FIXED.xlsx]Study Export'!BZ$3,"")</f>
        <v/>
      </c>
      <c r="CA30" s="57">
        <f>IFERROR('[P025_LingoCGM_CGM_Report_FIXED.xlsx]Study Export'!CA$3,"")</f>
        <v/>
      </c>
      <c r="CB30" s="58">
        <f>IFERROR('[P025_LingoCGM_CGM_Report_FIXED.xlsx]Study Export'!CB$3,"")</f>
        <v/>
      </c>
      <c r="CC30" s="59">
        <f>IFERROR('[P025_LingoCGM_CGM_Report_FIXED.xlsx]Study Export'!CC$3,"")</f>
        <v/>
      </c>
      <c r="CD30">
        <f>IFERROR('[P025_LingoCGM_CGM_Report_FIXED.xlsx]Study Export'!CD$3,"")</f>
        <v/>
      </c>
      <c r="CE30">
        <f>IFERROR('[P025_LingoCGM_CGM_Report_FIXED.xlsx]Study Export'!CE$3,"")</f>
        <v/>
      </c>
      <c r="CF30" s="60">
        <f>IFERROR('[P025_LingoCGM_CGM_Report_FIXED.xlsx]Study Export'!CF$3,"")</f>
        <v/>
      </c>
      <c r="CG30" s="60">
        <f>IFERROR('[P025_LingoCGM_CGM_Report_FIXED.xlsx]Study Export'!CG$3,"")</f>
        <v/>
      </c>
      <c r="CH30">
        <f>IFERROR('[P025_LingoCGM_CGM_Report_FIXED.xlsx]Study Export'!CH$3,"")</f>
        <v/>
      </c>
    </row>
    <row r="31">
      <c r="A31" s="24">
        <f>IFERROR('[P026_LingoCGM_CGM_Report_FIXED.xlsx]Study Export'!A$3,"")</f>
        <v/>
      </c>
      <c r="B31" s="24">
        <f>IFERROR('[P026_LingoCGM_CGM_Report_FIXED.xlsx]Study Export'!B$3,"")</f>
        <v/>
      </c>
      <c r="C31" s="24">
        <f>IFERROR('[P026_LingoCGM_CGM_Report_FIXED.xlsx]Study Export'!C$3,"")</f>
        <v/>
      </c>
      <c r="D31" s="24">
        <f>IFERROR('[P026_LingoCGM_CGM_Report_FIXED.xlsx]Study Export'!D$3,"")</f>
        <v/>
      </c>
      <c r="E31" s="55">
        <f>IFERROR('[P026_LingoCGM_CGM_Report_FIXED.xlsx]Study Export'!E$3,"")</f>
        <v/>
      </c>
      <c r="F31" s="26">
        <f>IFERROR('[P026_LingoCGM_CGM_Report_FIXED.xlsx]Study Export'!F$3,"")</f>
        <v/>
      </c>
      <c r="G31" s="26">
        <f>IFERROR('[P026_LingoCGM_CGM_Report_FIXED.xlsx]Study Export'!G$3,"")</f>
        <v/>
      </c>
      <c r="H31" s="47">
        <f>IFERROR('[P026_LingoCGM_CGM_Report_FIXED.xlsx]Study Export'!H$3,"")</f>
        <v/>
      </c>
      <c r="I31" s="26">
        <f>IFERROR('[P026_LingoCGM_CGM_Report_FIXED.xlsx]Study Export'!I$3,"")</f>
        <v/>
      </c>
      <c r="J31" s="26">
        <f>IFERROR('[P026_LingoCGM_CGM_Report_FIXED.xlsx]Study Export'!J$3,"")</f>
        <v/>
      </c>
      <c r="K31" s="47">
        <f>IFERROR('[P026_LingoCGM_CGM_Report_FIXED.xlsx]Study Export'!K$3,"")</f>
        <v/>
      </c>
      <c r="L31" s="47">
        <f>IFERROR('[P026_LingoCGM_CGM_Report_FIXED.xlsx]Study Export'!L$3,"")</f>
        <v/>
      </c>
      <c r="M31" s="47">
        <f>IFERROR('[P026_LingoCGM_CGM_Report_FIXED.xlsx]Study Export'!M$3,"")</f>
        <v/>
      </c>
      <c r="N31" s="47">
        <f>IFERROR('[P026_LingoCGM_CGM_Report_FIXED.xlsx]Study Export'!N$3,"")</f>
        <v/>
      </c>
      <c r="O31" s="47">
        <f>IFERROR('[P026_LingoCGM_CGM_Report_FIXED.xlsx]Study Export'!O$3,"")</f>
        <v/>
      </c>
      <c r="P31" s="27">
        <f>IFERROR('[P026_LingoCGM_CGM_Report_FIXED.xlsx]Study Export'!P$3,"")</f>
        <v/>
      </c>
      <c r="Q31" s="27">
        <f>IFERROR('[P026_LingoCGM_CGM_Report_FIXED.xlsx]Study Export'!Q$3,"")</f>
        <v/>
      </c>
      <c r="R31" s="27">
        <f>IFERROR('[P026_LingoCGM_CGM_Report_FIXED.xlsx]Study Export'!R$3,"")</f>
        <v/>
      </c>
      <c r="S31" s="56">
        <f>IFERROR('[P026_LingoCGM_CGM_Report_FIXED.xlsx]Study Export'!S$3,"")</f>
        <v/>
      </c>
      <c r="T31" s="56">
        <f>IFERROR('[P026_LingoCGM_CGM_Report_FIXED.xlsx]Study Export'!T$3,"")</f>
        <v/>
      </c>
      <c r="U31" s="56">
        <f>IFERROR('[P026_LingoCGM_CGM_Report_FIXED.xlsx]Study Export'!U$3,"")</f>
        <v/>
      </c>
      <c r="V31" s="56">
        <f>IFERROR('[P026_LingoCGM_CGM_Report_FIXED.xlsx]Study Export'!V$3,"")</f>
        <v/>
      </c>
      <c r="W31" s="56">
        <f>IFERROR('[P026_LingoCGM_CGM_Report_FIXED.xlsx]Study Export'!W$3,"")</f>
        <v/>
      </c>
      <c r="X31" s="56">
        <f>IFERROR('[P026_LingoCGM_CGM_Report_FIXED.xlsx]Study Export'!X$3,"")</f>
        <v/>
      </c>
      <c r="Y31" s="56">
        <f>IFERROR('[P026_LingoCGM_CGM_Report_FIXED.xlsx]Study Export'!Y$3,"")</f>
        <v/>
      </c>
      <c r="Z31" s="56">
        <f>IFERROR('[P026_LingoCGM_CGM_Report_FIXED.xlsx]Study Export'!Z$3,"")</f>
        <v/>
      </c>
      <c r="AA31" s="56">
        <f>IFERROR('[P026_LingoCGM_CGM_Report_FIXED.xlsx]Study Export'!AA$3,"")</f>
        <v/>
      </c>
      <c r="AB31" s="56">
        <f>IFERROR('[P026_LingoCGM_CGM_Report_FIXED.xlsx]Study Export'!AB$3,"")</f>
        <v/>
      </c>
      <c r="AC31" s="56">
        <f>IFERROR('[P026_LingoCGM_CGM_Report_FIXED.xlsx]Study Export'!AC$3,"")</f>
        <v/>
      </c>
      <c r="AD31" s="56">
        <f>IFERROR('[P026_LingoCGM_CGM_Report_FIXED.xlsx]Study Export'!AD$3,"")</f>
        <v/>
      </c>
      <c r="AE31" s="56">
        <f>IFERROR('[P026_LingoCGM_CGM_Report_FIXED.xlsx]Study Export'!AE$3,"")</f>
        <v/>
      </c>
      <c r="AF31" s="56">
        <f>IFERROR('[P026_LingoCGM_CGM_Report_FIXED.xlsx]Study Export'!AF$3,"")</f>
        <v/>
      </c>
      <c r="AG31" s="56">
        <f>IFERROR('[P026_LingoCGM_CGM_Report_FIXED.xlsx]Study Export'!AG$3,"")</f>
        <v/>
      </c>
      <c r="AH31" s="27">
        <f>IFERROR('[P026_LingoCGM_CGM_Report_FIXED.xlsx]Study Export'!AH$3,"")</f>
        <v/>
      </c>
      <c r="AI31" s="27">
        <f>IFERROR('[P026_LingoCGM_CGM_Report_FIXED.xlsx]Study Export'!AI$3,"")</f>
        <v/>
      </c>
      <c r="AJ31" s="27">
        <f>IFERROR('[P026_LingoCGM_CGM_Report_FIXED.xlsx]Study Export'!AJ$3,"")</f>
        <v/>
      </c>
      <c r="AK31" s="27">
        <f>IFERROR('[P026_LingoCGM_CGM_Report_FIXED.xlsx]Study Export'!AK$3,"")</f>
        <v/>
      </c>
      <c r="AL31" s="27">
        <f>IFERROR('[P026_LingoCGM_CGM_Report_FIXED.xlsx]Study Export'!AL$3,"")</f>
        <v/>
      </c>
      <c r="AM31" s="27">
        <f>IFERROR('[P026_LingoCGM_CGM_Report_FIXED.xlsx]Study Export'!AM$3,"")</f>
        <v/>
      </c>
      <c r="AN31" s="27">
        <f>IFERROR('[P026_LingoCGM_CGM_Report_FIXED.xlsx]Study Export'!AN$3,"")</f>
        <v/>
      </c>
      <c r="AO31" s="27">
        <f>IFERROR('[P026_LingoCGM_CGM_Report_FIXED.xlsx]Study Export'!AO$3,"")</f>
        <v/>
      </c>
      <c r="AP31" s="27">
        <f>IFERROR('[P026_LingoCGM_CGM_Report_FIXED.xlsx]Study Export'!AP$3,"")</f>
        <v/>
      </c>
      <c r="AQ31" s="27">
        <f>IFERROR('[P026_LingoCGM_CGM_Report_FIXED.xlsx]Study Export'!AQ$3,"")</f>
        <v/>
      </c>
      <c r="AR31" s="27">
        <f>IFERROR('[P026_LingoCGM_CGM_Report_FIXED.xlsx]Study Export'!AR$3,"")</f>
        <v/>
      </c>
      <c r="AS31" s="27">
        <f>IFERROR('[P026_LingoCGM_CGM_Report_FIXED.xlsx]Study Export'!AS$3,"")</f>
        <v/>
      </c>
      <c r="AT31" s="47">
        <f>IFERROR('[P026_LingoCGM_CGM_Report_FIXED.xlsx]Study Export'!AT$3,"")</f>
        <v/>
      </c>
      <c r="AU31" s="47">
        <f>IFERROR('[P026_LingoCGM_CGM_Report_FIXED.xlsx]Study Export'!AU$3,"")</f>
        <v/>
      </c>
      <c r="AV31" s="47">
        <f>IFERROR('[P026_LingoCGM_CGM_Report_FIXED.xlsx]Study Export'!AV$3,"")</f>
        <v/>
      </c>
      <c r="AW31" s="56">
        <f>IFERROR('[P026_LingoCGM_CGM_Report_FIXED.xlsx]Study Export'!AW$3,"")</f>
        <v/>
      </c>
      <c r="AX31" s="56">
        <f>IFERROR('[P026_LingoCGM_CGM_Report_FIXED.xlsx]Study Export'!AX$3,"")</f>
        <v/>
      </c>
      <c r="AY31" s="56">
        <f>IFERROR('[P026_LingoCGM_CGM_Report_FIXED.xlsx]Study Export'!AY$3,"")</f>
        <v/>
      </c>
      <c r="AZ31" s="47">
        <f>IFERROR('[P026_LingoCGM_CGM_Report_FIXED.xlsx]Study Export'!AZ$3,"")</f>
        <v/>
      </c>
      <c r="BA31" s="47">
        <f>IFERROR('[P026_LingoCGM_CGM_Report_FIXED.xlsx]Study Export'!BA$3,"")</f>
        <v/>
      </c>
      <c r="BB31" s="47">
        <f>IFERROR('[P026_LingoCGM_CGM_Report_FIXED.xlsx]Study Export'!BB$3,"")</f>
        <v/>
      </c>
      <c r="BC31" s="27">
        <f>IFERROR('[P026_LingoCGM_CGM_Report_FIXED.xlsx]Study Export'!BC$3,"")</f>
        <v/>
      </c>
      <c r="BD31" s="27">
        <f>IFERROR('[P026_LingoCGM_CGM_Report_FIXED.xlsx]Study Export'!BD$3,"")</f>
        <v/>
      </c>
      <c r="BE31" s="27">
        <f>IFERROR('[P026_LingoCGM_CGM_Report_FIXED.xlsx]Study Export'!BE$3,"")</f>
        <v/>
      </c>
      <c r="BF31" s="47">
        <f>IFERROR('[P026_LingoCGM_CGM_Report_FIXED.xlsx]Study Export'!BF$3,"")</f>
        <v/>
      </c>
      <c r="BG31" s="47">
        <f>IFERROR('[P026_LingoCGM_CGM_Report_FIXED.xlsx]Study Export'!BG$3,"")</f>
        <v/>
      </c>
      <c r="BH31" s="47">
        <f>IFERROR('[P026_LingoCGM_CGM_Report_FIXED.xlsx]Study Export'!BH$3,"")</f>
        <v/>
      </c>
      <c r="BI31" s="47">
        <f>IFERROR('[P026_LingoCGM_CGM_Report_FIXED.xlsx]Study Export'!BI$3,"")</f>
        <v/>
      </c>
      <c r="BJ31" s="47">
        <f>IFERROR('[P026_LingoCGM_CGM_Report_FIXED.xlsx]Study Export'!BJ$3,"")</f>
        <v/>
      </c>
      <c r="BK31" s="47">
        <f>IFERROR('[P026_LingoCGM_CGM_Report_FIXED.xlsx]Study Export'!BK$3,"")</f>
        <v/>
      </c>
      <c r="BL31" s="47">
        <f>IFERROR('[P026_LingoCGM_CGM_Report_FIXED.xlsx]Study Export'!BL$3,"")</f>
        <v/>
      </c>
      <c r="BM31" s="47">
        <f>IFERROR('[P026_LingoCGM_CGM_Report_FIXED.xlsx]Study Export'!BM$3,"")</f>
        <v/>
      </c>
      <c r="BN31" s="47">
        <f>IFERROR('[P026_LingoCGM_CGM_Report_FIXED.xlsx]Study Export'!BN$3,"")</f>
        <v/>
      </c>
      <c r="BO31" s="47">
        <f>IFERROR('[P026_LingoCGM_CGM_Report_FIXED.xlsx]Study Export'!BO$3,"")</f>
        <v/>
      </c>
      <c r="BP31" s="47">
        <f>IFERROR('[P026_LingoCGM_CGM_Report_FIXED.xlsx]Study Export'!BP$3,"")</f>
        <v/>
      </c>
      <c r="BQ31" s="47">
        <f>IFERROR('[P026_LingoCGM_CGM_Report_FIXED.xlsx]Study Export'!BQ$3,"")</f>
        <v/>
      </c>
      <c r="BR31" s="47">
        <f>IFERROR('[P026_LingoCGM_CGM_Report_FIXED.xlsx]Study Export'!BR$3,"")</f>
        <v/>
      </c>
      <c r="BS31" s="47">
        <f>IFERROR('[P026_LingoCGM_CGM_Report_FIXED.xlsx]Study Export'!BS$3,"")</f>
        <v/>
      </c>
      <c r="BT31" s="47">
        <f>IFERROR('[P026_LingoCGM_CGM_Report_FIXED.xlsx]Study Export'!BT$3,"")</f>
        <v/>
      </c>
      <c r="BU31" s="47">
        <f>IFERROR('[P026_LingoCGM_CGM_Report_FIXED.xlsx]Study Export'!BU$3,"")</f>
        <v/>
      </c>
      <c r="BV31" s="47">
        <f>IFERROR('[P026_LingoCGM_CGM_Report_FIXED.xlsx]Study Export'!BV$3,"")</f>
        <v/>
      </c>
      <c r="BW31" s="47">
        <f>IFERROR('[P026_LingoCGM_CGM_Report_FIXED.xlsx]Study Export'!BW$3,"")</f>
        <v/>
      </c>
      <c r="BX31">
        <f>IFERROR('[P026_LingoCGM_CGM_Report_FIXED.xlsx]Study Export'!BX$3,"")</f>
        <v/>
      </c>
      <c r="BY31" s="57">
        <f>IFERROR('[P026_LingoCGM_CGM_Report_FIXED.xlsx]Study Export'!BY$3,"")</f>
        <v/>
      </c>
      <c r="BZ31" s="57">
        <f>IFERROR('[P026_LingoCGM_CGM_Report_FIXED.xlsx]Study Export'!BZ$3,"")</f>
        <v/>
      </c>
      <c r="CA31" s="57">
        <f>IFERROR('[P026_LingoCGM_CGM_Report_FIXED.xlsx]Study Export'!CA$3,"")</f>
        <v/>
      </c>
      <c r="CB31" s="58">
        <f>IFERROR('[P026_LingoCGM_CGM_Report_FIXED.xlsx]Study Export'!CB$3,"")</f>
        <v/>
      </c>
      <c r="CC31" s="59">
        <f>IFERROR('[P026_LingoCGM_CGM_Report_FIXED.xlsx]Study Export'!CC$3,"")</f>
        <v/>
      </c>
      <c r="CD31">
        <f>IFERROR('[P026_LingoCGM_CGM_Report_FIXED.xlsx]Study Export'!CD$3,"")</f>
        <v/>
      </c>
      <c r="CE31">
        <f>IFERROR('[P026_LingoCGM_CGM_Report_FIXED.xlsx]Study Export'!CE$3,"")</f>
        <v/>
      </c>
      <c r="CF31" s="60">
        <f>IFERROR('[P026_LingoCGM_CGM_Report_FIXED.xlsx]Study Export'!CF$3,"")</f>
        <v/>
      </c>
      <c r="CG31" s="60">
        <f>IFERROR('[P026_LingoCGM_CGM_Report_FIXED.xlsx]Study Export'!CG$3,"")</f>
        <v/>
      </c>
      <c r="CH31">
        <f>IFERROR('[P026_LingoCGM_CGM_Report_FIXED.xlsx]Study Export'!CH$3,"")</f>
        <v/>
      </c>
    </row>
    <row r="32">
      <c r="A32" s="24">
        <f>IFERROR('[P027_LingoCGM_CGM_Report_FIXED.xlsx]Study Export'!A$3,"")</f>
        <v/>
      </c>
      <c r="B32" s="24">
        <f>IFERROR('[P027_LingoCGM_CGM_Report_FIXED.xlsx]Study Export'!B$3,"")</f>
        <v/>
      </c>
      <c r="C32" s="24">
        <f>IFERROR('[P027_LingoCGM_CGM_Report_FIXED.xlsx]Study Export'!C$3,"")</f>
        <v/>
      </c>
      <c r="D32" s="24">
        <f>IFERROR('[P027_LingoCGM_CGM_Report_FIXED.xlsx]Study Export'!D$3,"")</f>
        <v/>
      </c>
      <c r="E32" s="55">
        <f>IFERROR('[P027_LingoCGM_CGM_Report_FIXED.xlsx]Study Export'!E$3,"")</f>
        <v/>
      </c>
      <c r="F32" s="26">
        <f>IFERROR('[P027_LingoCGM_CGM_Report_FIXED.xlsx]Study Export'!F$3,"")</f>
        <v/>
      </c>
      <c r="G32" s="26">
        <f>IFERROR('[P027_LingoCGM_CGM_Report_FIXED.xlsx]Study Export'!G$3,"")</f>
        <v/>
      </c>
      <c r="H32" s="47">
        <f>IFERROR('[P027_LingoCGM_CGM_Report_FIXED.xlsx]Study Export'!H$3,"")</f>
        <v/>
      </c>
      <c r="I32" s="26">
        <f>IFERROR('[P027_LingoCGM_CGM_Report_FIXED.xlsx]Study Export'!I$3,"")</f>
        <v/>
      </c>
      <c r="J32" s="26">
        <f>IFERROR('[P027_LingoCGM_CGM_Report_FIXED.xlsx]Study Export'!J$3,"")</f>
        <v/>
      </c>
      <c r="K32" s="47">
        <f>IFERROR('[P027_LingoCGM_CGM_Report_FIXED.xlsx]Study Export'!K$3,"")</f>
        <v/>
      </c>
      <c r="L32" s="47">
        <f>IFERROR('[P027_LingoCGM_CGM_Report_FIXED.xlsx]Study Export'!L$3,"")</f>
        <v/>
      </c>
      <c r="M32" s="47">
        <f>IFERROR('[P027_LingoCGM_CGM_Report_FIXED.xlsx]Study Export'!M$3,"")</f>
        <v/>
      </c>
      <c r="N32" s="47">
        <f>IFERROR('[P027_LingoCGM_CGM_Report_FIXED.xlsx]Study Export'!N$3,"")</f>
        <v/>
      </c>
      <c r="O32" s="47">
        <f>IFERROR('[P027_LingoCGM_CGM_Report_FIXED.xlsx]Study Export'!O$3,"")</f>
        <v/>
      </c>
      <c r="P32" s="27">
        <f>IFERROR('[P027_LingoCGM_CGM_Report_FIXED.xlsx]Study Export'!P$3,"")</f>
        <v/>
      </c>
      <c r="Q32" s="27">
        <f>IFERROR('[P027_LingoCGM_CGM_Report_FIXED.xlsx]Study Export'!Q$3,"")</f>
        <v/>
      </c>
      <c r="R32" s="27">
        <f>IFERROR('[P027_LingoCGM_CGM_Report_FIXED.xlsx]Study Export'!R$3,"")</f>
        <v/>
      </c>
      <c r="S32" s="56">
        <f>IFERROR('[P027_LingoCGM_CGM_Report_FIXED.xlsx]Study Export'!S$3,"")</f>
        <v/>
      </c>
      <c r="T32" s="56">
        <f>IFERROR('[P027_LingoCGM_CGM_Report_FIXED.xlsx]Study Export'!T$3,"")</f>
        <v/>
      </c>
      <c r="U32" s="56">
        <f>IFERROR('[P027_LingoCGM_CGM_Report_FIXED.xlsx]Study Export'!U$3,"")</f>
        <v/>
      </c>
      <c r="V32" s="56">
        <f>IFERROR('[P027_LingoCGM_CGM_Report_FIXED.xlsx]Study Export'!V$3,"")</f>
        <v/>
      </c>
      <c r="W32" s="56">
        <f>IFERROR('[P027_LingoCGM_CGM_Report_FIXED.xlsx]Study Export'!W$3,"")</f>
        <v/>
      </c>
      <c r="X32" s="56">
        <f>IFERROR('[P027_LingoCGM_CGM_Report_FIXED.xlsx]Study Export'!X$3,"")</f>
        <v/>
      </c>
      <c r="Y32" s="56">
        <f>IFERROR('[P027_LingoCGM_CGM_Report_FIXED.xlsx]Study Export'!Y$3,"")</f>
        <v/>
      </c>
      <c r="Z32" s="56">
        <f>IFERROR('[P027_LingoCGM_CGM_Report_FIXED.xlsx]Study Export'!Z$3,"")</f>
        <v/>
      </c>
      <c r="AA32" s="56">
        <f>IFERROR('[P027_LingoCGM_CGM_Report_FIXED.xlsx]Study Export'!AA$3,"")</f>
        <v/>
      </c>
      <c r="AB32" s="56">
        <f>IFERROR('[P027_LingoCGM_CGM_Report_FIXED.xlsx]Study Export'!AB$3,"")</f>
        <v/>
      </c>
      <c r="AC32" s="56">
        <f>IFERROR('[P027_LingoCGM_CGM_Report_FIXED.xlsx]Study Export'!AC$3,"")</f>
        <v/>
      </c>
      <c r="AD32" s="56">
        <f>IFERROR('[P027_LingoCGM_CGM_Report_FIXED.xlsx]Study Export'!AD$3,"")</f>
        <v/>
      </c>
      <c r="AE32" s="56">
        <f>IFERROR('[P027_LingoCGM_CGM_Report_FIXED.xlsx]Study Export'!AE$3,"")</f>
        <v/>
      </c>
      <c r="AF32" s="56">
        <f>IFERROR('[P027_LingoCGM_CGM_Report_FIXED.xlsx]Study Export'!AF$3,"")</f>
        <v/>
      </c>
      <c r="AG32" s="56">
        <f>IFERROR('[P027_LingoCGM_CGM_Report_FIXED.xlsx]Study Export'!AG$3,"")</f>
        <v/>
      </c>
      <c r="AH32" s="27">
        <f>IFERROR('[P027_LingoCGM_CGM_Report_FIXED.xlsx]Study Export'!AH$3,"")</f>
        <v/>
      </c>
      <c r="AI32" s="27">
        <f>IFERROR('[P027_LingoCGM_CGM_Report_FIXED.xlsx]Study Export'!AI$3,"")</f>
        <v/>
      </c>
      <c r="AJ32" s="27">
        <f>IFERROR('[P027_LingoCGM_CGM_Report_FIXED.xlsx]Study Export'!AJ$3,"")</f>
        <v/>
      </c>
      <c r="AK32" s="27">
        <f>IFERROR('[P027_LingoCGM_CGM_Report_FIXED.xlsx]Study Export'!AK$3,"")</f>
        <v/>
      </c>
      <c r="AL32" s="27">
        <f>IFERROR('[P027_LingoCGM_CGM_Report_FIXED.xlsx]Study Export'!AL$3,"")</f>
        <v/>
      </c>
      <c r="AM32" s="27">
        <f>IFERROR('[P027_LingoCGM_CGM_Report_FIXED.xlsx]Study Export'!AM$3,"")</f>
        <v/>
      </c>
      <c r="AN32" s="27">
        <f>IFERROR('[P027_LingoCGM_CGM_Report_FIXED.xlsx]Study Export'!AN$3,"")</f>
        <v/>
      </c>
      <c r="AO32" s="27">
        <f>IFERROR('[P027_LingoCGM_CGM_Report_FIXED.xlsx]Study Export'!AO$3,"")</f>
        <v/>
      </c>
      <c r="AP32" s="27">
        <f>IFERROR('[P027_LingoCGM_CGM_Report_FIXED.xlsx]Study Export'!AP$3,"")</f>
        <v/>
      </c>
      <c r="AQ32" s="27">
        <f>IFERROR('[P027_LingoCGM_CGM_Report_FIXED.xlsx]Study Export'!AQ$3,"")</f>
        <v/>
      </c>
      <c r="AR32" s="27">
        <f>IFERROR('[P027_LingoCGM_CGM_Report_FIXED.xlsx]Study Export'!AR$3,"")</f>
        <v/>
      </c>
      <c r="AS32" s="27">
        <f>IFERROR('[P027_LingoCGM_CGM_Report_FIXED.xlsx]Study Export'!AS$3,"")</f>
        <v/>
      </c>
      <c r="AT32" s="47">
        <f>IFERROR('[P027_LingoCGM_CGM_Report_FIXED.xlsx]Study Export'!AT$3,"")</f>
        <v/>
      </c>
      <c r="AU32" s="47">
        <f>IFERROR('[P027_LingoCGM_CGM_Report_FIXED.xlsx]Study Export'!AU$3,"")</f>
        <v/>
      </c>
      <c r="AV32" s="47">
        <f>IFERROR('[P027_LingoCGM_CGM_Report_FIXED.xlsx]Study Export'!AV$3,"")</f>
        <v/>
      </c>
      <c r="AW32" s="56">
        <f>IFERROR('[P027_LingoCGM_CGM_Report_FIXED.xlsx]Study Export'!AW$3,"")</f>
        <v/>
      </c>
      <c r="AX32" s="56">
        <f>IFERROR('[P027_LingoCGM_CGM_Report_FIXED.xlsx]Study Export'!AX$3,"")</f>
        <v/>
      </c>
      <c r="AY32" s="56">
        <f>IFERROR('[P027_LingoCGM_CGM_Report_FIXED.xlsx]Study Export'!AY$3,"")</f>
        <v/>
      </c>
      <c r="AZ32" s="47">
        <f>IFERROR('[P027_LingoCGM_CGM_Report_FIXED.xlsx]Study Export'!AZ$3,"")</f>
        <v/>
      </c>
      <c r="BA32" s="47">
        <f>IFERROR('[P027_LingoCGM_CGM_Report_FIXED.xlsx]Study Export'!BA$3,"")</f>
        <v/>
      </c>
      <c r="BB32" s="47">
        <f>IFERROR('[P027_LingoCGM_CGM_Report_FIXED.xlsx]Study Export'!BB$3,"")</f>
        <v/>
      </c>
      <c r="BC32" s="27">
        <f>IFERROR('[P027_LingoCGM_CGM_Report_FIXED.xlsx]Study Export'!BC$3,"")</f>
        <v/>
      </c>
      <c r="BD32" s="27">
        <f>IFERROR('[P027_LingoCGM_CGM_Report_FIXED.xlsx]Study Export'!BD$3,"")</f>
        <v/>
      </c>
      <c r="BE32" s="27">
        <f>IFERROR('[P027_LingoCGM_CGM_Report_FIXED.xlsx]Study Export'!BE$3,"")</f>
        <v/>
      </c>
      <c r="BF32" s="47">
        <f>IFERROR('[P027_LingoCGM_CGM_Report_FIXED.xlsx]Study Export'!BF$3,"")</f>
        <v/>
      </c>
      <c r="BG32" s="47">
        <f>IFERROR('[P027_LingoCGM_CGM_Report_FIXED.xlsx]Study Export'!BG$3,"")</f>
        <v/>
      </c>
      <c r="BH32" s="47">
        <f>IFERROR('[P027_LingoCGM_CGM_Report_FIXED.xlsx]Study Export'!BH$3,"")</f>
        <v/>
      </c>
      <c r="BI32" s="47">
        <f>IFERROR('[P027_LingoCGM_CGM_Report_FIXED.xlsx]Study Export'!BI$3,"")</f>
        <v/>
      </c>
      <c r="BJ32" s="47">
        <f>IFERROR('[P027_LingoCGM_CGM_Report_FIXED.xlsx]Study Export'!BJ$3,"")</f>
        <v/>
      </c>
      <c r="BK32" s="47">
        <f>IFERROR('[P027_LingoCGM_CGM_Report_FIXED.xlsx]Study Export'!BK$3,"")</f>
        <v/>
      </c>
      <c r="BL32" s="47">
        <f>IFERROR('[P027_LingoCGM_CGM_Report_FIXED.xlsx]Study Export'!BL$3,"")</f>
        <v/>
      </c>
      <c r="BM32" s="47">
        <f>IFERROR('[P027_LingoCGM_CGM_Report_FIXED.xlsx]Study Export'!BM$3,"")</f>
        <v/>
      </c>
      <c r="BN32" s="47">
        <f>IFERROR('[P027_LingoCGM_CGM_Report_FIXED.xlsx]Study Export'!BN$3,"")</f>
        <v/>
      </c>
      <c r="BO32" s="47">
        <f>IFERROR('[P027_LingoCGM_CGM_Report_FIXED.xlsx]Study Export'!BO$3,"")</f>
        <v/>
      </c>
      <c r="BP32" s="47">
        <f>IFERROR('[P027_LingoCGM_CGM_Report_FIXED.xlsx]Study Export'!BP$3,"")</f>
        <v/>
      </c>
      <c r="BQ32" s="47">
        <f>IFERROR('[P027_LingoCGM_CGM_Report_FIXED.xlsx]Study Export'!BQ$3,"")</f>
        <v/>
      </c>
      <c r="BR32" s="47">
        <f>IFERROR('[P027_LingoCGM_CGM_Report_FIXED.xlsx]Study Export'!BR$3,"")</f>
        <v/>
      </c>
      <c r="BS32" s="47">
        <f>IFERROR('[P027_LingoCGM_CGM_Report_FIXED.xlsx]Study Export'!BS$3,"")</f>
        <v/>
      </c>
      <c r="BT32" s="47">
        <f>IFERROR('[P027_LingoCGM_CGM_Report_FIXED.xlsx]Study Export'!BT$3,"")</f>
        <v/>
      </c>
      <c r="BU32" s="47">
        <f>IFERROR('[P027_LingoCGM_CGM_Report_FIXED.xlsx]Study Export'!BU$3,"")</f>
        <v/>
      </c>
      <c r="BV32" s="47">
        <f>IFERROR('[P027_LingoCGM_CGM_Report_FIXED.xlsx]Study Export'!BV$3,"")</f>
        <v/>
      </c>
      <c r="BW32" s="47">
        <f>IFERROR('[P027_LingoCGM_CGM_Report_FIXED.xlsx]Study Export'!BW$3,"")</f>
        <v/>
      </c>
      <c r="BX32">
        <f>IFERROR('[P027_LingoCGM_CGM_Report_FIXED.xlsx]Study Export'!BX$3,"")</f>
        <v/>
      </c>
      <c r="BY32" s="57">
        <f>IFERROR('[P027_LingoCGM_CGM_Report_FIXED.xlsx]Study Export'!BY$3,"")</f>
        <v/>
      </c>
      <c r="BZ32" s="57">
        <f>IFERROR('[P027_LingoCGM_CGM_Report_FIXED.xlsx]Study Export'!BZ$3,"")</f>
        <v/>
      </c>
      <c r="CA32" s="57">
        <f>IFERROR('[P027_LingoCGM_CGM_Report_FIXED.xlsx]Study Export'!CA$3,"")</f>
        <v/>
      </c>
      <c r="CB32" s="58">
        <f>IFERROR('[P027_LingoCGM_CGM_Report_FIXED.xlsx]Study Export'!CB$3,"")</f>
        <v/>
      </c>
      <c r="CC32" s="59">
        <f>IFERROR('[P027_LingoCGM_CGM_Report_FIXED.xlsx]Study Export'!CC$3,"")</f>
        <v/>
      </c>
      <c r="CD32">
        <f>IFERROR('[P027_LingoCGM_CGM_Report_FIXED.xlsx]Study Export'!CD$3,"")</f>
        <v/>
      </c>
      <c r="CE32">
        <f>IFERROR('[P027_LingoCGM_CGM_Report_FIXED.xlsx]Study Export'!CE$3,"")</f>
        <v/>
      </c>
      <c r="CF32" s="60">
        <f>IFERROR('[P027_LingoCGM_CGM_Report_FIXED.xlsx]Study Export'!CF$3,"")</f>
        <v/>
      </c>
      <c r="CG32" s="60">
        <f>IFERROR('[P027_LingoCGM_CGM_Report_FIXED.xlsx]Study Export'!CG$3,"")</f>
        <v/>
      </c>
      <c r="CH32">
        <f>IFERROR('[P027_LingoCGM_CGM_Report_FIXED.xlsx]Study Export'!CH$3,"")</f>
        <v/>
      </c>
    </row>
    <row r="33">
      <c r="A33" s="24">
        <f>IFERROR('[P028_LingoCGM_CGM_Report_FIXED.xlsx]Study Export'!A$3,"")</f>
        <v/>
      </c>
      <c r="B33" s="24">
        <f>IFERROR('[P028_LingoCGM_CGM_Report_FIXED.xlsx]Study Export'!B$3,"")</f>
        <v/>
      </c>
      <c r="C33" s="24">
        <f>IFERROR('[P028_LingoCGM_CGM_Report_FIXED.xlsx]Study Export'!C$3,"")</f>
        <v/>
      </c>
      <c r="D33" s="24">
        <f>IFERROR('[P028_LingoCGM_CGM_Report_FIXED.xlsx]Study Export'!D$3,"")</f>
        <v/>
      </c>
      <c r="E33" s="55">
        <f>IFERROR('[P028_LingoCGM_CGM_Report_FIXED.xlsx]Study Export'!E$3,"")</f>
        <v/>
      </c>
      <c r="F33" s="26">
        <f>IFERROR('[P028_LingoCGM_CGM_Report_FIXED.xlsx]Study Export'!F$3,"")</f>
        <v/>
      </c>
      <c r="G33" s="26">
        <f>IFERROR('[P028_LingoCGM_CGM_Report_FIXED.xlsx]Study Export'!G$3,"")</f>
        <v/>
      </c>
      <c r="H33" s="47">
        <f>IFERROR('[P028_LingoCGM_CGM_Report_FIXED.xlsx]Study Export'!H$3,"")</f>
        <v/>
      </c>
      <c r="I33" s="26">
        <f>IFERROR('[P028_LingoCGM_CGM_Report_FIXED.xlsx]Study Export'!I$3,"")</f>
        <v/>
      </c>
      <c r="J33" s="26">
        <f>IFERROR('[P028_LingoCGM_CGM_Report_FIXED.xlsx]Study Export'!J$3,"")</f>
        <v/>
      </c>
      <c r="K33" s="47">
        <f>IFERROR('[P028_LingoCGM_CGM_Report_FIXED.xlsx]Study Export'!K$3,"")</f>
        <v/>
      </c>
      <c r="L33" s="47">
        <f>IFERROR('[P028_LingoCGM_CGM_Report_FIXED.xlsx]Study Export'!L$3,"")</f>
        <v/>
      </c>
      <c r="M33" s="47">
        <f>IFERROR('[P028_LingoCGM_CGM_Report_FIXED.xlsx]Study Export'!M$3,"")</f>
        <v/>
      </c>
      <c r="N33" s="47">
        <f>IFERROR('[P028_LingoCGM_CGM_Report_FIXED.xlsx]Study Export'!N$3,"")</f>
        <v/>
      </c>
      <c r="O33" s="47">
        <f>IFERROR('[P028_LingoCGM_CGM_Report_FIXED.xlsx]Study Export'!O$3,"")</f>
        <v/>
      </c>
      <c r="P33" s="27">
        <f>IFERROR('[P028_LingoCGM_CGM_Report_FIXED.xlsx]Study Export'!P$3,"")</f>
        <v/>
      </c>
      <c r="Q33" s="27">
        <f>IFERROR('[P028_LingoCGM_CGM_Report_FIXED.xlsx]Study Export'!Q$3,"")</f>
        <v/>
      </c>
      <c r="R33" s="27">
        <f>IFERROR('[P028_LingoCGM_CGM_Report_FIXED.xlsx]Study Export'!R$3,"")</f>
        <v/>
      </c>
      <c r="S33" s="56">
        <f>IFERROR('[P028_LingoCGM_CGM_Report_FIXED.xlsx]Study Export'!S$3,"")</f>
        <v/>
      </c>
      <c r="T33" s="56">
        <f>IFERROR('[P028_LingoCGM_CGM_Report_FIXED.xlsx]Study Export'!T$3,"")</f>
        <v/>
      </c>
      <c r="U33" s="56">
        <f>IFERROR('[P028_LingoCGM_CGM_Report_FIXED.xlsx]Study Export'!U$3,"")</f>
        <v/>
      </c>
      <c r="V33" s="56">
        <f>IFERROR('[P028_LingoCGM_CGM_Report_FIXED.xlsx]Study Export'!V$3,"")</f>
        <v/>
      </c>
      <c r="W33" s="56">
        <f>IFERROR('[P028_LingoCGM_CGM_Report_FIXED.xlsx]Study Export'!W$3,"")</f>
        <v/>
      </c>
      <c r="X33" s="56">
        <f>IFERROR('[P028_LingoCGM_CGM_Report_FIXED.xlsx]Study Export'!X$3,"")</f>
        <v/>
      </c>
      <c r="Y33" s="56">
        <f>IFERROR('[P028_LingoCGM_CGM_Report_FIXED.xlsx]Study Export'!Y$3,"")</f>
        <v/>
      </c>
      <c r="Z33" s="56">
        <f>IFERROR('[P028_LingoCGM_CGM_Report_FIXED.xlsx]Study Export'!Z$3,"")</f>
        <v/>
      </c>
      <c r="AA33" s="56">
        <f>IFERROR('[P028_LingoCGM_CGM_Report_FIXED.xlsx]Study Export'!AA$3,"")</f>
        <v/>
      </c>
      <c r="AB33" s="56">
        <f>IFERROR('[P028_LingoCGM_CGM_Report_FIXED.xlsx]Study Export'!AB$3,"")</f>
        <v/>
      </c>
      <c r="AC33" s="56">
        <f>IFERROR('[P028_LingoCGM_CGM_Report_FIXED.xlsx]Study Export'!AC$3,"")</f>
        <v/>
      </c>
      <c r="AD33" s="56">
        <f>IFERROR('[P028_LingoCGM_CGM_Report_FIXED.xlsx]Study Export'!AD$3,"")</f>
        <v/>
      </c>
      <c r="AE33" s="56">
        <f>IFERROR('[P028_LingoCGM_CGM_Report_FIXED.xlsx]Study Export'!AE$3,"")</f>
        <v/>
      </c>
      <c r="AF33" s="56">
        <f>IFERROR('[P028_LingoCGM_CGM_Report_FIXED.xlsx]Study Export'!AF$3,"")</f>
        <v/>
      </c>
      <c r="AG33" s="56">
        <f>IFERROR('[P028_LingoCGM_CGM_Report_FIXED.xlsx]Study Export'!AG$3,"")</f>
        <v/>
      </c>
      <c r="AH33" s="27">
        <f>IFERROR('[P028_LingoCGM_CGM_Report_FIXED.xlsx]Study Export'!AH$3,"")</f>
        <v/>
      </c>
      <c r="AI33" s="27">
        <f>IFERROR('[P028_LingoCGM_CGM_Report_FIXED.xlsx]Study Export'!AI$3,"")</f>
        <v/>
      </c>
      <c r="AJ33" s="27">
        <f>IFERROR('[P028_LingoCGM_CGM_Report_FIXED.xlsx]Study Export'!AJ$3,"")</f>
        <v/>
      </c>
      <c r="AK33" s="27">
        <f>IFERROR('[P028_LingoCGM_CGM_Report_FIXED.xlsx]Study Export'!AK$3,"")</f>
        <v/>
      </c>
      <c r="AL33" s="27">
        <f>IFERROR('[P028_LingoCGM_CGM_Report_FIXED.xlsx]Study Export'!AL$3,"")</f>
        <v/>
      </c>
      <c r="AM33" s="27">
        <f>IFERROR('[P028_LingoCGM_CGM_Report_FIXED.xlsx]Study Export'!AM$3,"")</f>
        <v/>
      </c>
      <c r="AN33" s="27">
        <f>IFERROR('[P028_LingoCGM_CGM_Report_FIXED.xlsx]Study Export'!AN$3,"")</f>
        <v/>
      </c>
      <c r="AO33" s="27">
        <f>IFERROR('[P028_LingoCGM_CGM_Report_FIXED.xlsx]Study Export'!AO$3,"")</f>
        <v/>
      </c>
      <c r="AP33" s="27">
        <f>IFERROR('[P028_LingoCGM_CGM_Report_FIXED.xlsx]Study Export'!AP$3,"")</f>
        <v/>
      </c>
      <c r="AQ33" s="27">
        <f>IFERROR('[P028_LingoCGM_CGM_Report_FIXED.xlsx]Study Export'!AQ$3,"")</f>
        <v/>
      </c>
      <c r="AR33" s="27">
        <f>IFERROR('[P028_LingoCGM_CGM_Report_FIXED.xlsx]Study Export'!AR$3,"")</f>
        <v/>
      </c>
      <c r="AS33" s="27">
        <f>IFERROR('[P028_LingoCGM_CGM_Report_FIXED.xlsx]Study Export'!AS$3,"")</f>
        <v/>
      </c>
      <c r="AT33" s="47">
        <f>IFERROR('[P028_LingoCGM_CGM_Report_FIXED.xlsx]Study Export'!AT$3,"")</f>
        <v/>
      </c>
      <c r="AU33" s="47">
        <f>IFERROR('[P028_LingoCGM_CGM_Report_FIXED.xlsx]Study Export'!AU$3,"")</f>
        <v/>
      </c>
      <c r="AV33" s="47">
        <f>IFERROR('[P028_LingoCGM_CGM_Report_FIXED.xlsx]Study Export'!AV$3,"")</f>
        <v/>
      </c>
      <c r="AW33" s="56">
        <f>IFERROR('[P028_LingoCGM_CGM_Report_FIXED.xlsx]Study Export'!AW$3,"")</f>
        <v/>
      </c>
      <c r="AX33" s="56">
        <f>IFERROR('[P028_LingoCGM_CGM_Report_FIXED.xlsx]Study Export'!AX$3,"")</f>
        <v/>
      </c>
      <c r="AY33" s="56">
        <f>IFERROR('[P028_LingoCGM_CGM_Report_FIXED.xlsx]Study Export'!AY$3,"")</f>
        <v/>
      </c>
      <c r="AZ33" s="47">
        <f>IFERROR('[P028_LingoCGM_CGM_Report_FIXED.xlsx]Study Export'!AZ$3,"")</f>
        <v/>
      </c>
      <c r="BA33" s="47">
        <f>IFERROR('[P028_LingoCGM_CGM_Report_FIXED.xlsx]Study Export'!BA$3,"")</f>
        <v/>
      </c>
      <c r="BB33" s="47">
        <f>IFERROR('[P028_LingoCGM_CGM_Report_FIXED.xlsx]Study Export'!BB$3,"")</f>
        <v/>
      </c>
      <c r="BC33" s="27">
        <f>IFERROR('[P028_LingoCGM_CGM_Report_FIXED.xlsx]Study Export'!BC$3,"")</f>
        <v/>
      </c>
      <c r="BD33" s="27">
        <f>IFERROR('[P028_LingoCGM_CGM_Report_FIXED.xlsx]Study Export'!BD$3,"")</f>
        <v/>
      </c>
      <c r="BE33" s="27">
        <f>IFERROR('[P028_LingoCGM_CGM_Report_FIXED.xlsx]Study Export'!BE$3,"")</f>
        <v/>
      </c>
      <c r="BF33" s="47">
        <f>IFERROR('[P028_LingoCGM_CGM_Report_FIXED.xlsx]Study Export'!BF$3,"")</f>
        <v/>
      </c>
      <c r="BG33" s="47">
        <f>IFERROR('[P028_LingoCGM_CGM_Report_FIXED.xlsx]Study Export'!BG$3,"")</f>
        <v/>
      </c>
      <c r="BH33" s="47">
        <f>IFERROR('[P028_LingoCGM_CGM_Report_FIXED.xlsx]Study Export'!BH$3,"")</f>
        <v/>
      </c>
      <c r="BI33" s="47">
        <f>IFERROR('[P028_LingoCGM_CGM_Report_FIXED.xlsx]Study Export'!BI$3,"")</f>
        <v/>
      </c>
      <c r="BJ33" s="47">
        <f>IFERROR('[P028_LingoCGM_CGM_Report_FIXED.xlsx]Study Export'!BJ$3,"")</f>
        <v/>
      </c>
      <c r="BK33" s="47">
        <f>IFERROR('[P028_LingoCGM_CGM_Report_FIXED.xlsx]Study Export'!BK$3,"")</f>
        <v/>
      </c>
      <c r="BL33" s="47">
        <f>IFERROR('[P028_LingoCGM_CGM_Report_FIXED.xlsx]Study Export'!BL$3,"")</f>
        <v/>
      </c>
      <c r="BM33" s="47">
        <f>IFERROR('[P028_LingoCGM_CGM_Report_FIXED.xlsx]Study Export'!BM$3,"")</f>
        <v/>
      </c>
      <c r="BN33" s="47">
        <f>IFERROR('[P028_LingoCGM_CGM_Report_FIXED.xlsx]Study Export'!BN$3,"")</f>
        <v/>
      </c>
      <c r="BO33" s="47">
        <f>IFERROR('[P028_LingoCGM_CGM_Report_FIXED.xlsx]Study Export'!BO$3,"")</f>
        <v/>
      </c>
      <c r="BP33" s="47">
        <f>IFERROR('[P028_LingoCGM_CGM_Report_FIXED.xlsx]Study Export'!BP$3,"")</f>
        <v/>
      </c>
      <c r="BQ33" s="47">
        <f>IFERROR('[P028_LingoCGM_CGM_Report_FIXED.xlsx]Study Export'!BQ$3,"")</f>
        <v/>
      </c>
      <c r="BR33" s="47">
        <f>IFERROR('[P028_LingoCGM_CGM_Report_FIXED.xlsx]Study Export'!BR$3,"")</f>
        <v/>
      </c>
      <c r="BS33" s="47">
        <f>IFERROR('[P028_LingoCGM_CGM_Report_FIXED.xlsx]Study Export'!BS$3,"")</f>
        <v/>
      </c>
      <c r="BT33" s="47">
        <f>IFERROR('[P028_LingoCGM_CGM_Report_FIXED.xlsx]Study Export'!BT$3,"")</f>
        <v/>
      </c>
      <c r="BU33" s="47">
        <f>IFERROR('[P028_LingoCGM_CGM_Report_FIXED.xlsx]Study Export'!BU$3,"")</f>
        <v/>
      </c>
      <c r="BV33" s="47">
        <f>IFERROR('[P028_LingoCGM_CGM_Report_FIXED.xlsx]Study Export'!BV$3,"")</f>
        <v/>
      </c>
      <c r="BW33" s="47">
        <f>IFERROR('[P028_LingoCGM_CGM_Report_FIXED.xlsx]Study Export'!BW$3,"")</f>
        <v/>
      </c>
      <c r="BX33">
        <f>IFERROR('[P028_LingoCGM_CGM_Report_FIXED.xlsx]Study Export'!BX$3,"")</f>
        <v/>
      </c>
      <c r="BY33" s="57">
        <f>IFERROR('[P028_LingoCGM_CGM_Report_FIXED.xlsx]Study Export'!BY$3,"")</f>
        <v/>
      </c>
      <c r="BZ33" s="57">
        <f>IFERROR('[P028_LingoCGM_CGM_Report_FIXED.xlsx]Study Export'!BZ$3,"")</f>
        <v/>
      </c>
      <c r="CA33" s="57">
        <f>IFERROR('[P028_LingoCGM_CGM_Report_FIXED.xlsx]Study Export'!CA$3,"")</f>
        <v/>
      </c>
      <c r="CB33" s="58">
        <f>IFERROR('[P028_LingoCGM_CGM_Report_FIXED.xlsx]Study Export'!CB$3,"")</f>
        <v/>
      </c>
      <c r="CC33" s="59">
        <f>IFERROR('[P028_LingoCGM_CGM_Report_FIXED.xlsx]Study Export'!CC$3,"")</f>
        <v/>
      </c>
      <c r="CD33">
        <f>IFERROR('[P028_LingoCGM_CGM_Report_FIXED.xlsx]Study Export'!CD$3,"")</f>
        <v/>
      </c>
      <c r="CE33">
        <f>IFERROR('[P028_LingoCGM_CGM_Report_FIXED.xlsx]Study Export'!CE$3,"")</f>
        <v/>
      </c>
      <c r="CF33" s="60">
        <f>IFERROR('[P028_LingoCGM_CGM_Report_FIXED.xlsx]Study Export'!CF$3,"")</f>
        <v/>
      </c>
      <c r="CG33" s="60">
        <f>IFERROR('[P028_LingoCGM_CGM_Report_FIXED.xlsx]Study Export'!CG$3,"")</f>
        <v/>
      </c>
      <c r="CH33">
        <f>IFERROR('[P028_LingoCGM_CGM_Report_FIXED.xlsx]Study Export'!CH$3,"")</f>
        <v/>
      </c>
    </row>
    <row r="34">
      <c r="A34" s="24">
        <f>IFERROR('[P029_LingoCGM_CGM_Report_FIXED.xlsx]Study Export'!A$3,"")</f>
        <v/>
      </c>
      <c r="B34" s="24">
        <f>IFERROR('[P029_LingoCGM_CGM_Report_FIXED.xlsx]Study Export'!B$3,"")</f>
        <v/>
      </c>
      <c r="C34" s="24">
        <f>IFERROR('[P029_LingoCGM_CGM_Report_FIXED.xlsx]Study Export'!C$3,"")</f>
        <v/>
      </c>
      <c r="D34" s="24">
        <f>IFERROR('[P029_LingoCGM_CGM_Report_FIXED.xlsx]Study Export'!D$3,"")</f>
        <v/>
      </c>
      <c r="E34" s="55">
        <f>IFERROR('[P029_LingoCGM_CGM_Report_FIXED.xlsx]Study Export'!E$3,"")</f>
        <v/>
      </c>
      <c r="F34" s="26">
        <f>IFERROR('[P029_LingoCGM_CGM_Report_FIXED.xlsx]Study Export'!F$3,"")</f>
        <v/>
      </c>
      <c r="G34" s="26">
        <f>IFERROR('[P029_LingoCGM_CGM_Report_FIXED.xlsx]Study Export'!G$3,"")</f>
        <v/>
      </c>
      <c r="H34" s="47">
        <f>IFERROR('[P029_LingoCGM_CGM_Report_FIXED.xlsx]Study Export'!H$3,"")</f>
        <v/>
      </c>
      <c r="I34" s="26">
        <f>IFERROR('[P029_LingoCGM_CGM_Report_FIXED.xlsx]Study Export'!I$3,"")</f>
        <v/>
      </c>
      <c r="J34" s="26">
        <f>IFERROR('[P029_LingoCGM_CGM_Report_FIXED.xlsx]Study Export'!J$3,"")</f>
        <v/>
      </c>
      <c r="K34" s="47">
        <f>IFERROR('[P029_LingoCGM_CGM_Report_FIXED.xlsx]Study Export'!K$3,"")</f>
        <v/>
      </c>
      <c r="L34" s="47">
        <f>IFERROR('[P029_LingoCGM_CGM_Report_FIXED.xlsx]Study Export'!L$3,"")</f>
        <v/>
      </c>
      <c r="M34" s="47">
        <f>IFERROR('[P029_LingoCGM_CGM_Report_FIXED.xlsx]Study Export'!M$3,"")</f>
        <v/>
      </c>
      <c r="N34" s="47">
        <f>IFERROR('[P029_LingoCGM_CGM_Report_FIXED.xlsx]Study Export'!N$3,"")</f>
        <v/>
      </c>
      <c r="O34" s="47">
        <f>IFERROR('[P029_LingoCGM_CGM_Report_FIXED.xlsx]Study Export'!O$3,"")</f>
        <v/>
      </c>
      <c r="P34" s="27">
        <f>IFERROR('[P029_LingoCGM_CGM_Report_FIXED.xlsx]Study Export'!P$3,"")</f>
        <v/>
      </c>
      <c r="Q34" s="27">
        <f>IFERROR('[P029_LingoCGM_CGM_Report_FIXED.xlsx]Study Export'!Q$3,"")</f>
        <v/>
      </c>
      <c r="R34" s="27">
        <f>IFERROR('[P029_LingoCGM_CGM_Report_FIXED.xlsx]Study Export'!R$3,"")</f>
        <v/>
      </c>
      <c r="S34" s="56">
        <f>IFERROR('[P029_LingoCGM_CGM_Report_FIXED.xlsx]Study Export'!S$3,"")</f>
        <v/>
      </c>
      <c r="T34" s="56">
        <f>IFERROR('[P029_LingoCGM_CGM_Report_FIXED.xlsx]Study Export'!T$3,"")</f>
        <v/>
      </c>
      <c r="U34" s="56">
        <f>IFERROR('[P029_LingoCGM_CGM_Report_FIXED.xlsx]Study Export'!U$3,"")</f>
        <v/>
      </c>
      <c r="V34" s="56">
        <f>IFERROR('[P029_LingoCGM_CGM_Report_FIXED.xlsx]Study Export'!V$3,"")</f>
        <v/>
      </c>
      <c r="W34" s="56">
        <f>IFERROR('[P029_LingoCGM_CGM_Report_FIXED.xlsx]Study Export'!W$3,"")</f>
        <v/>
      </c>
      <c r="X34" s="56">
        <f>IFERROR('[P029_LingoCGM_CGM_Report_FIXED.xlsx]Study Export'!X$3,"")</f>
        <v/>
      </c>
      <c r="Y34" s="56">
        <f>IFERROR('[P029_LingoCGM_CGM_Report_FIXED.xlsx]Study Export'!Y$3,"")</f>
        <v/>
      </c>
      <c r="Z34" s="56">
        <f>IFERROR('[P029_LingoCGM_CGM_Report_FIXED.xlsx]Study Export'!Z$3,"")</f>
        <v/>
      </c>
      <c r="AA34" s="56">
        <f>IFERROR('[P029_LingoCGM_CGM_Report_FIXED.xlsx]Study Export'!AA$3,"")</f>
        <v/>
      </c>
      <c r="AB34" s="56">
        <f>IFERROR('[P029_LingoCGM_CGM_Report_FIXED.xlsx]Study Export'!AB$3,"")</f>
        <v/>
      </c>
      <c r="AC34" s="56">
        <f>IFERROR('[P029_LingoCGM_CGM_Report_FIXED.xlsx]Study Export'!AC$3,"")</f>
        <v/>
      </c>
      <c r="AD34" s="56">
        <f>IFERROR('[P029_LingoCGM_CGM_Report_FIXED.xlsx]Study Export'!AD$3,"")</f>
        <v/>
      </c>
      <c r="AE34" s="56">
        <f>IFERROR('[P029_LingoCGM_CGM_Report_FIXED.xlsx]Study Export'!AE$3,"")</f>
        <v/>
      </c>
      <c r="AF34" s="56">
        <f>IFERROR('[P029_LingoCGM_CGM_Report_FIXED.xlsx]Study Export'!AF$3,"")</f>
        <v/>
      </c>
      <c r="AG34" s="56">
        <f>IFERROR('[P029_LingoCGM_CGM_Report_FIXED.xlsx]Study Export'!AG$3,"")</f>
        <v/>
      </c>
      <c r="AH34" s="27">
        <f>IFERROR('[P029_LingoCGM_CGM_Report_FIXED.xlsx]Study Export'!AH$3,"")</f>
        <v/>
      </c>
      <c r="AI34" s="27">
        <f>IFERROR('[P029_LingoCGM_CGM_Report_FIXED.xlsx]Study Export'!AI$3,"")</f>
        <v/>
      </c>
      <c r="AJ34" s="27">
        <f>IFERROR('[P029_LingoCGM_CGM_Report_FIXED.xlsx]Study Export'!AJ$3,"")</f>
        <v/>
      </c>
      <c r="AK34" s="27">
        <f>IFERROR('[P029_LingoCGM_CGM_Report_FIXED.xlsx]Study Export'!AK$3,"")</f>
        <v/>
      </c>
      <c r="AL34" s="27">
        <f>IFERROR('[P029_LingoCGM_CGM_Report_FIXED.xlsx]Study Export'!AL$3,"")</f>
        <v/>
      </c>
      <c r="AM34" s="27">
        <f>IFERROR('[P029_LingoCGM_CGM_Report_FIXED.xlsx]Study Export'!AM$3,"")</f>
        <v/>
      </c>
      <c r="AN34" s="27">
        <f>IFERROR('[P029_LingoCGM_CGM_Report_FIXED.xlsx]Study Export'!AN$3,"")</f>
        <v/>
      </c>
      <c r="AO34" s="27">
        <f>IFERROR('[P029_LingoCGM_CGM_Report_FIXED.xlsx]Study Export'!AO$3,"")</f>
        <v/>
      </c>
      <c r="AP34" s="27">
        <f>IFERROR('[P029_LingoCGM_CGM_Report_FIXED.xlsx]Study Export'!AP$3,"")</f>
        <v/>
      </c>
      <c r="AQ34" s="27">
        <f>IFERROR('[P029_LingoCGM_CGM_Report_FIXED.xlsx]Study Export'!AQ$3,"")</f>
        <v/>
      </c>
      <c r="AR34" s="27">
        <f>IFERROR('[P029_LingoCGM_CGM_Report_FIXED.xlsx]Study Export'!AR$3,"")</f>
        <v/>
      </c>
      <c r="AS34" s="27">
        <f>IFERROR('[P029_LingoCGM_CGM_Report_FIXED.xlsx]Study Export'!AS$3,"")</f>
        <v/>
      </c>
      <c r="AT34" s="47">
        <f>IFERROR('[P029_LingoCGM_CGM_Report_FIXED.xlsx]Study Export'!AT$3,"")</f>
        <v/>
      </c>
      <c r="AU34" s="47">
        <f>IFERROR('[P029_LingoCGM_CGM_Report_FIXED.xlsx]Study Export'!AU$3,"")</f>
        <v/>
      </c>
      <c r="AV34" s="47">
        <f>IFERROR('[P029_LingoCGM_CGM_Report_FIXED.xlsx]Study Export'!AV$3,"")</f>
        <v/>
      </c>
      <c r="AW34" s="56">
        <f>IFERROR('[P029_LingoCGM_CGM_Report_FIXED.xlsx]Study Export'!AW$3,"")</f>
        <v/>
      </c>
      <c r="AX34" s="56">
        <f>IFERROR('[P029_LingoCGM_CGM_Report_FIXED.xlsx]Study Export'!AX$3,"")</f>
        <v/>
      </c>
      <c r="AY34" s="56">
        <f>IFERROR('[P029_LingoCGM_CGM_Report_FIXED.xlsx]Study Export'!AY$3,"")</f>
        <v/>
      </c>
      <c r="AZ34" s="47">
        <f>IFERROR('[P029_LingoCGM_CGM_Report_FIXED.xlsx]Study Export'!AZ$3,"")</f>
        <v/>
      </c>
      <c r="BA34" s="47">
        <f>IFERROR('[P029_LingoCGM_CGM_Report_FIXED.xlsx]Study Export'!BA$3,"")</f>
        <v/>
      </c>
      <c r="BB34" s="47">
        <f>IFERROR('[P029_LingoCGM_CGM_Report_FIXED.xlsx]Study Export'!BB$3,"")</f>
        <v/>
      </c>
      <c r="BC34" s="27">
        <f>IFERROR('[P029_LingoCGM_CGM_Report_FIXED.xlsx]Study Export'!BC$3,"")</f>
        <v/>
      </c>
      <c r="BD34" s="27">
        <f>IFERROR('[P029_LingoCGM_CGM_Report_FIXED.xlsx]Study Export'!BD$3,"")</f>
        <v/>
      </c>
      <c r="BE34" s="27">
        <f>IFERROR('[P029_LingoCGM_CGM_Report_FIXED.xlsx]Study Export'!BE$3,"")</f>
        <v/>
      </c>
      <c r="BF34" s="47">
        <f>IFERROR('[P029_LingoCGM_CGM_Report_FIXED.xlsx]Study Export'!BF$3,"")</f>
        <v/>
      </c>
      <c r="BG34" s="47">
        <f>IFERROR('[P029_LingoCGM_CGM_Report_FIXED.xlsx]Study Export'!BG$3,"")</f>
        <v/>
      </c>
      <c r="BH34" s="47">
        <f>IFERROR('[P029_LingoCGM_CGM_Report_FIXED.xlsx]Study Export'!BH$3,"")</f>
        <v/>
      </c>
      <c r="BI34" s="47">
        <f>IFERROR('[P029_LingoCGM_CGM_Report_FIXED.xlsx]Study Export'!BI$3,"")</f>
        <v/>
      </c>
      <c r="BJ34" s="47">
        <f>IFERROR('[P029_LingoCGM_CGM_Report_FIXED.xlsx]Study Export'!BJ$3,"")</f>
        <v/>
      </c>
      <c r="BK34" s="47">
        <f>IFERROR('[P029_LingoCGM_CGM_Report_FIXED.xlsx]Study Export'!BK$3,"")</f>
        <v/>
      </c>
      <c r="BL34" s="47">
        <f>IFERROR('[P029_LingoCGM_CGM_Report_FIXED.xlsx]Study Export'!BL$3,"")</f>
        <v/>
      </c>
      <c r="BM34" s="47">
        <f>IFERROR('[P029_LingoCGM_CGM_Report_FIXED.xlsx]Study Export'!BM$3,"")</f>
        <v/>
      </c>
      <c r="BN34" s="47">
        <f>IFERROR('[P029_LingoCGM_CGM_Report_FIXED.xlsx]Study Export'!BN$3,"")</f>
        <v/>
      </c>
      <c r="BO34" s="47">
        <f>IFERROR('[P029_LingoCGM_CGM_Report_FIXED.xlsx]Study Export'!BO$3,"")</f>
        <v/>
      </c>
      <c r="BP34" s="47">
        <f>IFERROR('[P029_LingoCGM_CGM_Report_FIXED.xlsx]Study Export'!BP$3,"")</f>
        <v/>
      </c>
      <c r="BQ34" s="47">
        <f>IFERROR('[P029_LingoCGM_CGM_Report_FIXED.xlsx]Study Export'!BQ$3,"")</f>
        <v/>
      </c>
      <c r="BR34" s="47">
        <f>IFERROR('[P029_LingoCGM_CGM_Report_FIXED.xlsx]Study Export'!BR$3,"")</f>
        <v/>
      </c>
      <c r="BS34" s="47">
        <f>IFERROR('[P029_LingoCGM_CGM_Report_FIXED.xlsx]Study Export'!BS$3,"")</f>
        <v/>
      </c>
      <c r="BT34" s="47">
        <f>IFERROR('[P029_LingoCGM_CGM_Report_FIXED.xlsx]Study Export'!BT$3,"")</f>
        <v/>
      </c>
      <c r="BU34" s="47">
        <f>IFERROR('[P029_LingoCGM_CGM_Report_FIXED.xlsx]Study Export'!BU$3,"")</f>
        <v/>
      </c>
      <c r="BV34" s="47">
        <f>IFERROR('[P029_LingoCGM_CGM_Report_FIXED.xlsx]Study Export'!BV$3,"")</f>
        <v/>
      </c>
      <c r="BW34" s="47">
        <f>IFERROR('[P029_LingoCGM_CGM_Report_FIXED.xlsx]Study Export'!BW$3,"")</f>
        <v/>
      </c>
      <c r="BX34">
        <f>IFERROR('[P029_LingoCGM_CGM_Report_FIXED.xlsx]Study Export'!BX$3,"")</f>
        <v/>
      </c>
      <c r="BY34" s="57">
        <f>IFERROR('[P029_LingoCGM_CGM_Report_FIXED.xlsx]Study Export'!BY$3,"")</f>
        <v/>
      </c>
      <c r="BZ34" s="57">
        <f>IFERROR('[P029_LingoCGM_CGM_Report_FIXED.xlsx]Study Export'!BZ$3,"")</f>
        <v/>
      </c>
      <c r="CA34" s="57">
        <f>IFERROR('[P029_LingoCGM_CGM_Report_FIXED.xlsx]Study Export'!CA$3,"")</f>
        <v/>
      </c>
      <c r="CB34" s="58">
        <f>IFERROR('[P029_LingoCGM_CGM_Report_FIXED.xlsx]Study Export'!CB$3,"")</f>
        <v/>
      </c>
      <c r="CC34" s="59">
        <f>IFERROR('[P029_LingoCGM_CGM_Report_FIXED.xlsx]Study Export'!CC$3,"")</f>
        <v/>
      </c>
      <c r="CD34">
        <f>IFERROR('[P029_LingoCGM_CGM_Report_FIXED.xlsx]Study Export'!CD$3,"")</f>
        <v/>
      </c>
      <c r="CE34">
        <f>IFERROR('[P029_LingoCGM_CGM_Report_FIXED.xlsx]Study Export'!CE$3,"")</f>
        <v/>
      </c>
      <c r="CF34" s="60">
        <f>IFERROR('[P029_LingoCGM_CGM_Report_FIXED.xlsx]Study Export'!CF$3,"")</f>
        <v/>
      </c>
      <c r="CG34" s="60">
        <f>IFERROR('[P029_LingoCGM_CGM_Report_FIXED.xlsx]Study Export'!CG$3,"")</f>
        <v/>
      </c>
      <c r="CH34">
        <f>IFERROR('[P029_LingoCGM_CGM_Report_FIXED.xlsx]Study Export'!CH$3,"")</f>
        <v/>
      </c>
    </row>
    <row r="35">
      <c r="A35" s="24">
        <f>IFERROR('[P030_LingoCGM_CGM_Report_FIXED.xlsx]Study Export'!A$3,"")</f>
        <v/>
      </c>
      <c r="B35" s="24">
        <f>IFERROR('[P030_LingoCGM_CGM_Report_FIXED.xlsx]Study Export'!B$3,"")</f>
        <v/>
      </c>
      <c r="C35" s="24">
        <f>IFERROR('[P030_LingoCGM_CGM_Report_FIXED.xlsx]Study Export'!C$3,"")</f>
        <v/>
      </c>
      <c r="D35" s="24">
        <f>IFERROR('[P030_LingoCGM_CGM_Report_FIXED.xlsx]Study Export'!D$3,"")</f>
        <v/>
      </c>
      <c r="E35" s="55">
        <f>IFERROR('[P030_LingoCGM_CGM_Report_FIXED.xlsx]Study Export'!E$3,"")</f>
        <v/>
      </c>
      <c r="F35" s="26">
        <f>IFERROR('[P030_LingoCGM_CGM_Report_FIXED.xlsx]Study Export'!F$3,"")</f>
        <v/>
      </c>
      <c r="G35" s="26">
        <f>IFERROR('[P030_LingoCGM_CGM_Report_FIXED.xlsx]Study Export'!G$3,"")</f>
        <v/>
      </c>
      <c r="H35" s="47">
        <f>IFERROR('[P030_LingoCGM_CGM_Report_FIXED.xlsx]Study Export'!H$3,"")</f>
        <v/>
      </c>
      <c r="I35" s="26">
        <f>IFERROR('[P030_LingoCGM_CGM_Report_FIXED.xlsx]Study Export'!I$3,"")</f>
        <v/>
      </c>
      <c r="J35" s="26">
        <f>IFERROR('[P030_LingoCGM_CGM_Report_FIXED.xlsx]Study Export'!J$3,"")</f>
        <v/>
      </c>
      <c r="K35" s="47">
        <f>IFERROR('[P030_LingoCGM_CGM_Report_FIXED.xlsx]Study Export'!K$3,"")</f>
        <v/>
      </c>
      <c r="L35" s="47">
        <f>IFERROR('[P030_LingoCGM_CGM_Report_FIXED.xlsx]Study Export'!L$3,"")</f>
        <v/>
      </c>
      <c r="M35" s="47">
        <f>IFERROR('[P030_LingoCGM_CGM_Report_FIXED.xlsx]Study Export'!M$3,"")</f>
        <v/>
      </c>
      <c r="N35" s="47">
        <f>IFERROR('[P030_LingoCGM_CGM_Report_FIXED.xlsx]Study Export'!N$3,"")</f>
        <v/>
      </c>
      <c r="O35" s="47">
        <f>IFERROR('[P030_LingoCGM_CGM_Report_FIXED.xlsx]Study Export'!O$3,"")</f>
        <v/>
      </c>
      <c r="P35" s="27">
        <f>IFERROR('[P030_LingoCGM_CGM_Report_FIXED.xlsx]Study Export'!P$3,"")</f>
        <v/>
      </c>
      <c r="Q35" s="27">
        <f>IFERROR('[P030_LingoCGM_CGM_Report_FIXED.xlsx]Study Export'!Q$3,"")</f>
        <v/>
      </c>
      <c r="R35" s="27">
        <f>IFERROR('[P030_LingoCGM_CGM_Report_FIXED.xlsx]Study Export'!R$3,"")</f>
        <v/>
      </c>
      <c r="S35" s="56">
        <f>IFERROR('[P030_LingoCGM_CGM_Report_FIXED.xlsx]Study Export'!S$3,"")</f>
        <v/>
      </c>
      <c r="T35" s="56">
        <f>IFERROR('[P030_LingoCGM_CGM_Report_FIXED.xlsx]Study Export'!T$3,"")</f>
        <v/>
      </c>
      <c r="U35" s="56">
        <f>IFERROR('[P030_LingoCGM_CGM_Report_FIXED.xlsx]Study Export'!U$3,"")</f>
        <v/>
      </c>
      <c r="V35" s="56">
        <f>IFERROR('[P030_LingoCGM_CGM_Report_FIXED.xlsx]Study Export'!V$3,"")</f>
        <v/>
      </c>
      <c r="W35" s="56">
        <f>IFERROR('[P030_LingoCGM_CGM_Report_FIXED.xlsx]Study Export'!W$3,"")</f>
        <v/>
      </c>
      <c r="X35" s="56">
        <f>IFERROR('[P030_LingoCGM_CGM_Report_FIXED.xlsx]Study Export'!X$3,"")</f>
        <v/>
      </c>
      <c r="Y35" s="56">
        <f>IFERROR('[P030_LingoCGM_CGM_Report_FIXED.xlsx]Study Export'!Y$3,"")</f>
        <v/>
      </c>
      <c r="Z35" s="56">
        <f>IFERROR('[P030_LingoCGM_CGM_Report_FIXED.xlsx]Study Export'!Z$3,"")</f>
        <v/>
      </c>
      <c r="AA35" s="56">
        <f>IFERROR('[P030_LingoCGM_CGM_Report_FIXED.xlsx]Study Export'!AA$3,"")</f>
        <v/>
      </c>
      <c r="AB35" s="56">
        <f>IFERROR('[P030_LingoCGM_CGM_Report_FIXED.xlsx]Study Export'!AB$3,"")</f>
        <v/>
      </c>
      <c r="AC35" s="56">
        <f>IFERROR('[P030_LingoCGM_CGM_Report_FIXED.xlsx]Study Export'!AC$3,"")</f>
        <v/>
      </c>
      <c r="AD35" s="56">
        <f>IFERROR('[P030_LingoCGM_CGM_Report_FIXED.xlsx]Study Export'!AD$3,"")</f>
        <v/>
      </c>
      <c r="AE35" s="56">
        <f>IFERROR('[P030_LingoCGM_CGM_Report_FIXED.xlsx]Study Export'!AE$3,"")</f>
        <v/>
      </c>
      <c r="AF35" s="56">
        <f>IFERROR('[P030_LingoCGM_CGM_Report_FIXED.xlsx]Study Export'!AF$3,"")</f>
        <v/>
      </c>
      <c r="AG35" s="56">
        <f>IFERROR('[P030_LingoCGM_CGM_Report_FIXED.xlsx]Study Export'!AG$3,"")</f>
        <v/>
      </c>
      <c r="AH35" s="27">
        <f>IFERROR('[P030_LingoCGM_CGM_Report_FIXED.xlsx]Study Export'!AH$3,"")</f>
        <v/>
      </c>
      <c r="AI35" s="27">
        <f>IFERROR('[P030_LingoCGM_CGM_Report_FIXED.xlsx]Study Export'!AI$3,"")</f>
        <v/>
      </c>
      <c r="AJ35" s="27">
        <f>IFERROR('[P030_LingoCGM_CGM_Report_FIXED.xlsx]Study Export'!AJ$3,"")</f>
        <v/>
      </c>
      <c r="AK35" s="27">
        <f>IFERROR('[P030_LingoCGM_CGM_Report_FIXED.xlsx]Study Export'!AK$3,"")</f>
        <v/>
      </c>
      <c r="AL35" s="27">
        <f>IFERROR('[P030_LingoCGM_CGM_Report_FIXED.xlsx]Study Export'!AL$3,"")</f>
        <v/>
      </c>
      <c r="AM35" s="27">
        <f>IFERROR('[P030_LingoCGM_CGM_Report_FIXED.xlsx]Study Export'!AM$3,"")</f>
        <v/>
      </c>
      <c r="AN35" s="27">
        <f>IFERROR('[P030_LingoCGM_CGM_Report_FIXED.xlsx]Study Export'!AN$3,"")</f>
        <v/>
      </c>
      <c r="AO35" s="27">
        <f>IFERROR('[P030_LingoCGM_CGM_Report_FIXED.xlsx]Study Export'!AO$3,"")</f>
        <v/>
      </c>
      <c r="AP35" s="27">
        <f>IFERROR('[P030_LingoCGM_CGM_Report_FIXED.xlsx]Study Export'!AP$3,"")</f>
        <v/>
      </c>
      <c r="AQ35" s="27">
        <f>IFERROR('[P030_LingoCGM_CGM_Report_FIXED.xlsx]Study Export'!AQ$3,"")</f>
        <v/>
      </c>
      <c r="AR35" s="27">
        <f>IFERROR('[P030_LingoCGM_CGM_Report_FIXED.xlsx]Study Export'!AR$3,"")</f>
        <v/>
      </c>
      <c r="AS35" s="27">
        <f>IFERROR('[P030_LingoCGM_CGM_Report_FIXED.xlsx]Study Export'!AS$3,"")</f>
        <v/>
      </c>
      <c r="AT35" s="47">
        <f>IFERROR('[P030_LingoCGM_CGM_Report_FIXED.xlsx]Study Export'!AT$3,"")</f>
        <v/>
      </c>
      <c r="AU35" s="47">
        <f>IFERROR('[P030_LingoCGM_CGM_Report_FIXED.xlsx]Study Export'!AU$3,"")</f>
        <v/>
      </c>
      <c r="AV35" s="47">
        <f>IFERROR('[P030_LingoCGM_CGM_Report_FIXED.xlsx]Study Export'!AV$3,"")</f>
        <v/>
      </c>
      <c r="AW35" s="56">
        <f>IFERROR('[P030_LingoCGM_CGM_Report_FIXED.xlsx]Study Export'!AW$3,"")</f>
        <v/>
      </c>
      <c r="AX35" s="56">
        <f>IFERROR('[P030_LingoCGM_CGM_Report_FIXED.xlsx]Study Export'!AX$3,"")</f>
        <v/>
      </c>
      <c r="AY35" s="56">
        <f>IFERROR('[P030_LingoCGM_CGM_Report_FIXED.xlsx]Study Export'!AY$3,"")</f>
        <v/>
      </c>
      <c r="AZ35" s="47">
        <f>IFERROR('[P030_LingoCGM_CGM_Report_FIXED.xlsx]Study Export'!AZ$3,"")</f>
        <v/>
      </c>
      <c r="BA35" s="47">
        <f>IFERROR('[P030_LingoCGM_CGM_Report_FIXED.xlsx]Study Export'!BA$3,"")</f>
        <v/>
      </c>
      <c r="BB35" s="47">
        <f>IFERROR('[P030_LingoCGM_CGM_Report_FIXED.xlsx]Study Export'!BB$3,"")</f>
        <v/>
      </c>
      <c r="BC35" s="27">
        <f>IFERROR('[P030_LingoCGM_CGM_Report_FIXED.xlsx]Study Export'!BC$3,"")</f>
        <v/>
      </c>
      <c r="BD35" s="27">
        <f>IFERROR('[P030_LingoCGM_CGM_Report_FIXED.xlsx]Study Export'!BD$3,"")</f>
        <v/>
      </c>
      <c r="BE35" s="27">
        <f>IFERROR('[P030_LingoCGM_CGM_Report_FIXED.xlsx]Study Export'!BE$3,"")</f>
        <v/>
      </c>
      <c r="BF35" s="47">
        <f>IFERROR('[P030_LingoCGM_CGM_Report_FIXED.xlsx]Study Export'!BF$3,"")</f>
        <v/>
      </c>
      <c r="BG35" s="47">
        <f>IFERROR('[P030_LingoCGM_CGM_Report_FIXED.xlsx]Study Export'!BG$3,"")</f>
        <v/>
      </c>
      <c r="BH35" s="47">
        <f>IFERROR('[P030_LingoCGM_CGM_Report_FIXED.xlsx]Study Export'!BH$3,"")</f>
        <v/>
      </c>
      <c r="BI35" s="47">
        <f>IFERROR('[P030_LingoCGM_CGM_Report_FIXED.xlsx]Study Export'!BI$3,"")</f>
        <v/>
      </c>
      <c r="BJ35" s="47">
        <f>IFERROR('[P030_LingoCGM_CGM_Report_FIXED.xlsx]Study Export'!BJ$3,"")</f>
        <v/>
      </c>
      <c r="BK35" s="47">
        <f>IFERROR('[P030_LingoCGM_CGM_Report_FIXED.xlsx]Study Export'!BK$3,"")</f>
        <v/>
      </c>
      <c r="BL35" s="47">
        <f>IFERROR('[P030_LingoCGM_CGM_Report_FIXED.xlsx]Study Export'!BL$3,"")</f>
        <v/>
      </c>
      <c r="BM35" s="47">
        <f>IFERROR('[P030_LingoCGM_CGM_Report_FIXED.xlsx]Study Export'!BM$3,"")</f>
        <v/>
      </c>
      <c r="BN35" s="47">
        <f>IFERROR('[P030_LingoCGM_CGM_Report_FIXED.xlsx]Study Export'!BN$3,"")</f>
        <v/>
      </c>
      <c r="BO35" s="47">
        <f>IFERROR('[P030_LingoCGM_CGM_Report_FIXED.xlsx]Study Export'!BO$3,"")</f>
        <v/>
      </c>
      <c r="BP35" s="47">
        <f>IFERROR('[P030_LingoCGM_CGM_Report_FIXED.xlsx]Study Export'!BP$3,"")</f>
        <v/>
      </c>
      <c r="BQ35" s="47">
        <f>IFERROR('[P030_LingoCGM_CGM_Report_FIXED.xlsx]Study Export'!BQ$3,"")</f>
        <v/>
      </c>
      <c r="BR35" s="47">
        <f>IFERROR('[P030_LingoCGM_CGM_Report_FIXED.xlsx]Study Export'!BR$3,"")</f>
        <v/>
      </c>
      <c r="BS35" s="47">
        <f>IFERROR('[P030_LingoCGM_CGM_Report_FIXED.xlsx]Study Export'!BS$3,"")</f>
        <v/>
      </c>
      <c r="BT35" s="47">
        <f>IFERROR('[P030_LingoCGM_CGM_Report_FIXED.xlsx]Study Export'!BT$3,"")</f>
        <v/>
      </c>
      <c r="BU35" s="47">
        <f>IFERROR('[P030_LingoCGM_CGM_Report_FIXED.xlsx]Study Export'!BU$3,"")</f>
        <v/>
      </c>
      <c r="BV35" s="47">
        <f>IFERROR('[P030_LingoCGM_CGM_Report_FIXED.xlsx]Study Export'!BV$3,"")</f>
        <v/>
      </c>
      <c r="BW35" s="47">
        <f>IFERROR('[P030_LingoCGM_CGM_Report_FIXED.xlsx]Study Export'!BW$3,"")</f>
        <v/>
      </c>
      <c r="BX35">
        <f>IFERROR('[P030_LingoCGM_CGM_Report_FIXED.xlsx]Study Export'!BX$3,"")</f>
        <v/>
      </c>
      <c r="BY35" s="57">
        <f>IFERROR('[P030_LingoCGM_CGM_Report_FIXED.xlsx]Study Export'!BY$3,"")</f>
        <v/>
      </c>
      <c r="BZ35" s="57">
        <f>IFERROR('[P030_LingoCGM_CGM_Report_FIXED.xlsx]Study Export'!BZ$3,"")</f>
        <v/>
      </c>
      <c r="CA35" s="57">
        <f>IFERROR('[P030_LingoCGM_CGM_Report_FIXED.xlsx]Study Export'!CA$3,"")</f>
        <v/>
      </c>
      <c r="CB35" s="58">
        <f>IFERROR('[P030_LingoCGM_CGM_Report_FIXED.xlsx]Study Export'!CB$3,"")</f>
        <v/>
      </c>
      <c r="CC35" s="59">
        <f>IFERROR('[P030_LingoCGM_CGM_Report_FIXED.xlsx]Study Export'!CC$3,"")</f>
        <v/>
      </c>
      <c r="CD35">
        <f>IFERROR('[P030_LingoCGM_CGM_Report_FIXED.xlsx]Study Export'!CD$3,"")</f>
        <v/>
      </c>
      <c r="CE35">
        <f>IFERROR('[P030_LingoCGM_CGM_Report_FIXED.xlsx]Study Export'!CE$3,"")</f>
        <v/>
      </c>
      <c r="CF35" s="60">
        <f>IFERROR('[P030_LingoCGM_CGM_Report_FIXED.xlsx]Study Export'!CF$3,"")</f>
        <v/>
      </c>
      <c r="CG35" s="60">
        <f>IFERROR('[P030_LingoCGM_CGM_Report_FIXED.xlsx]Study Export'!CG$3,"")</f>
        <v/>
      </c>
      <c r="CH35">
        <f>IFERROR('[P030_LingoCGM_CGM_Report_FIXED.xlsx]Study Export'!CH$3,"")</f>
        <v/>
      </c>
    </row>
  </sheetData>
  <mergeCells count="2">
    <mergeCell ref="A3:L3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7" customWidth="1" min="4" max="4"/>
    <col width="2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2" customWidth="1" min="11" max="11"/>
    <col width="12" customWidth="1" min="12" max="12"/>
    <col width="17" customWidth="1" min="13" max="13"/>
    <col width="16" customWidth="1" min="14" max="14"/>
    <col width="1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2" customWidth="1" min="25" max="25"/>
    <col width="12" customWidth="1" min="26" max="26"/>
    <col width="14" customWidth="1" min="27" max="27"/>
    <col width="12" customWidth="1" min="28" max="28"/>
    <col width="12" customWidth="1" min="29" max="29"/>
    <col width="14" customWidth="1" min="30" max="30"/>
    <col width="12" customWidth="1" min="31" max="31"/>
    <col width="12" customWidth="1" min="32" max="32"/>
    <col width="14" customWidth="1" min="33" max="33"/>
    <col width="21" customWidth="1" min="34" max="34"/>
    <col width="20" customWidth="1" min="35" max="35"/>
    <col width="23" customWidth="1" min="36" max="36"/>
    <col width="20" customWidth="1" min="37" max="37"/>
    <col width="19" customWidth="1" min="38" max="38"/>
    <col width="2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3" customWidth="1" min="55" max="55"/>
    <col width="12" customWidth="1" min="56" max="56"/>
    <col width="15" customWidth="1" min="57" max="57"/>
    <col width="12" customWidth="1" min="58" max="58"/>
    <col width="12" customWidth="1" min="59" max="59"/>
    <col width="12" customWidth="1" min="60" max="60"/>
    <col width="13" customWidth="1" min="61" max="61"/>
    <col width="12" customWidth="1" min="62" max="62"/>
    <col width="15" customWidth="1" min="63" max="63"/>
    <col width="12" customWidth="1" min="64" max="64"/>
    <col width="12" customWidth="1" min="65" max="65"/>
    <col width="14" customWidth="1" min="66" max="66"/>
    <col width="12" customWidth="1" min="67" max="67"/>
    <col width="12" customWidth="1" min="68" max="68"/>
    <col width="14" customWidth="1" min="69" max="69"/>
    <col width="12" customWidth="1" min="70" max="70"/>
    <col width="12" customWidth="1" min="71" max="71"/>
    <col width="14" customWidth="1" min="72" max="72"/>
    <col width="12" customWidth="1" min="73" max="73"/>
    <col width="12" customWidth="1" min="74" max="74"/>
    <col width="12" customWidth="1" min="75" max="75"/>
  </cols>
  <sheetData>
    <row r="1" ht="30" customHeight="1">
      <c r="A1" s="1" t="inlineStr">
        <is>
          <t>Manual Paste Area - Study Export rows</t>
        </is>
      </c>
      <c r="B1" s="3" t="n"/>
      <c r="C1" s="3" t="n"/>
      <c r="D1" s="3" t="n"/>
      <c r="E1" s="3" t="n"/>
      <c r="F1" s="3" t="n"/>
      <c r="G1" s="3" t="n"/>
      <c r="H1" s="4" t="n"/>
    </row>
    <row r="3">
      <c r="A3" s="21" t="inlineStr">
        <is>
          <t>Paste values from each participant workbook's Study Export row 3 into rows 6-35. This overrides File_Intake for that participant.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5">
      <c r="A5" s="22" t="inlineStr">
        <is>
          <t>Participant ID</t>
        </is>
      </c>
      <c r="B5" s="22" t="inlineStr">
        <is>
          <t>Treatment Arm</t>
        </is>
      </c>
      <c r="C5" s="22" t="inlineStr">
        <is>
          <t>Dose Detail</t>
        </is>
      </c>
      <c r="D5" s="22" t="inlineStr">
        <is>
          <t>Source Workbook</t>
        </is>
      </c>
      <c r="E5" s="22" t="inlineStr">
        <is>
          <t>Metformin Start Date</t>
        </is>
      </c>
      <c r="F5" s="22" t="inlineStr">
        <is>
          <t>Washout Days</t>
        </is>
      </c>
      <c r="G5" s="22" t="inlineStr">
        <is>
          <t>Total Readings</t>
        </is>
      </c>
      <c r="H5" s="22" t="inlineStr">
        <is>
          <t>Total Days</t>
        </is>
      </c>
      <c r="I5" s="22" t="inlineStr">
        <is>
          <t>Off Readings</t>
        </is>
      </c>
      <c r="J5" s="22" t="inlineStr">
        <is>
          <t>On Readings</t>
        </is>
      </c>
      <c r="K5" s="22" t="inlineStr">
        <is>
          <t>Off Days</t>
        </is>
      </c>
      <c r="L5" s="22" t="inlineStr">
        <is>
          <t>On Days</t>
        </is>
      </c>
      <c r="M5" s="22" t="inlineStr">
        <is>
          <t>Avg Glucose Off</t>
        </is>
      </c>
      <c r="N5" s="22" t="inlineStr">
        <is>
          <t>Avg Glucose On</t>
        </is>
      </c>
      <c r="O5" s="22" t="inlineStr">
        <is>
          <t>Avg Glucose Delta</t>
        </is>
      </c>
      <c r="P5" s="22" t="inlineStr">
        <is>
          <t>GMI Off</t>
        </is>
      </c>
      <c r="Q5" s="22" t="inlineStr">
        <is>
          <t>GMI On</t>
        </is>
      </c>
      <c r="R5" s="22" t="inlineStr">
        <is>
          <t>GMI Delta</t>
        </is>
      </c>
      <c r="S5" s="22" t="inlineStr">
        <is>
          <t>TIR Off</t>
        </is>
      </c>
      <c r="T5" s="22" t="inlineStr">
        <is>
          <t>TIR On</t>
        </is>
      </c>
      <c r="U5" s="22" t="inlineStr">
        <is>
          <t>TIR Delta</t>
        </is>
      </c>
      <c r="V5" s="22" t="inlineStr">
        <is>
          <t>TBR L2 Off</t>
        </is>
      </c>
      <c r="W5" s="22" t="inlineStr">
        <is>
          <t>TBR L2 On</t>
        </is>
      </c>
      <c r="X5" s="22" t="inlineStr">
        <is>
          <t>TBR L2 Delta</t>
        </is>
      </c>
      <c r="Y5" s="22" t="inlineStr">
        <is>
          <t>TBR L1 Off</t>
        </is>
      </c>
      <c r="Z5" s="22" t="inlineStr">
        <is>
          <t>TBR L1 On</t>
        </is>
      </c>
      <c r="AA5" s="22" t="inlineStr">
        <is>
          <t>TBR L1 Delta</t>
        </is>
      </c>
      <c r="AB5" s="22" t="inlineStr">
        <is>
          <t>TAR L1 Off</t>
        </is>
      </c>
      <c r="AC5" s="22" t="inlineStr">
        <is>
          <t>TAR L1 On</t>
        </is>
      </c>
      <c r="AD5" s="22" t="inlineStr">
        <is>
          <t>TAR L1 Delta</t>
        </is>
      </c>
      <c r="AE5" s="22" t="inlineStr">
        <is>
          <t>TAR L2 Off</t>
        </is>
      </c>
      <c r="AF5" s="22" t="inlineStr">
        <is>
          <t>TAR L2 On</t>
        </is>
      </c>
      <c r="AG5" s="22" t="inlineStr">
        <is>
          <t>TAR L2 Delta</t>
        </is>
      </c>
      <c r="AH5" s="22" t="inlineStr">
        <is>
          <t>Daily Hyper AUC Off</t>
        </is>
      </c>
      <c r="AI5" s="22" t="inlineStr">
        <is>
          <t>Daily Hyper AUC On</t>
        </is>
      </c>
      <c r="AJ5" s="22" t="inlineStr">
        <is>
          <t>Daily Hyper AUC Delta</t>
        </is>
      </c>
      <c r="AK5" s="22" t="inlineStr">
        <is>
          <t>Daily Hypo AUC Off</t>
        </is>
      </c>
      <c r="AL5" s="22" t="inlineStr">
        <is>
          <t>Daily Hypo AUC On</t>
        </is>
      </c>
      <c r="AM5" s="22" t="inlineStr">
        <is>
          <t>Daily Hypo AUC Delta</t>
        </is>
      </c>
      <c r="AN5" s="22" t="inlineStr">
        <is>
          <t>LBGI Off</t>
        </is>
      </c>
      <c r="AO5" s="22" t="inlineStr">
        <is>
          <t>LBGI On</t>
        </is>
      </c>
      <c r="AP5" s="22" t="inlineStr">
        <is>
          <t>LBGI Delta</t>
        </is>
      </c>
      <c r="AQ5" s="22" t="inlineStr">
        <is>
          <t>HBGI Off</t>
        </is>
      </c>
      <c r="AR5" s="22" t="inlineStr">
        <is>
          <t>HBGI On</t>
        </is>
      </c>
      <c r="AS5" s="22" t="inlineStr">
        <is>
          <t>HBGI Delta</t>
        </is>
      </c>
      <c r="AT5" s="22" t="inlineStr">
        <is>
          <t>SD Off</t>
        </is>
      </c>
      <c r="AU5" s="22" t="inlineStr">
        <is>
          <t>SD On</t>
        </is>
      </c>
      <c r="AV5" s="22" t="inlineStr">
        <is>
          <t>SD Delta</t>
        </is>
      </c>
      <c r="AW5" s="22" t="inlineStr">
        <is>
          <t>CV Off</t>
        </is>
      </c>
      <c r="AX5" s="22" t="inlineStr">
        <is>
          <t>CV On</t>
        </is>
      </c>
      <c r="AY5" s="22" t="inlineStr">
        <is>
          <t>CV Delta</t>
        </is>
      </c>
      <c r="AZ5" s="22" t="inlineStr">
        <is>
          <t>MODD Off</t>
        </is>
      </c>
      <c r="BA5" s="22" t="inlineStr">
        <is>
          <t>MODD On</t>
        </is>
      </c>
      <c r="BB5" s="22" t="inlineStr">
        <is>
          <t>MODD Delta</t>
        </is>
      </c>
      <c r="BC5" s="22" t="inlineStr">
        <is>
          <t>M Value Off</t>
        </is>
      </c>
      <c r="BD5" s="22" t="inlineStr">
        <is>
          <t>M Value On</t>
        </is>
      </c>
      <c r="BE5" s="22" t="inlineStr">
        <is>
          <t>M Value Delta</t>
        </is>
      </c>
      <c r="BF5" s="22" t="inlineStr">
        <is>
          <t>GRI Off</t>
        </is>
      </c>
      <c r="BG5" s="22" t="inlineStr">
        <is>
          <t>GRI On</t>
        </is>
      </c>
      <c r="BH5" s="22" t="inlineStr">
        <is>
          <t>GRI Delta</t>
        </is>
      </c>
      <c r="BI5" s="22" t="inlineStr">
        <is>
          <t>12-3 AM Off</t>
        </is>
      </c>
      <c r="BJ5" s="22" t="inlineStr">
        <is>
          <t>12-3 AM On</t>
        </is>
      </c>
      <c r="BK5" s="22" t="inlineStr">
        <is>
          <t>12-3 AM Delta</t>
        </is>
      </c>
      <c r="BL5" s="22" t="inlineStr">
        <is>
          <t>3-6 AM Off</t>
        </is>
      </c>
      <c r="BM5" s="22" t="inlineStr">
        <is>
          <t>3-6 AM On</t>
        </is>
      </c>
      <c r="BN5" s="22" t="inlineStr">
        <is>
          <t>3-6 AM Delta</t>
        </is>
      </c>
      <c r="BO5" s="22" t="inlineStr">
        <is>
          <t>6-9 AM Off</t>
        </is>
      </c>
      <c r="BP5" s="22" t="inlineStr">
        <is>
          <t>6-9 AM On</t>
        </is>
      </c>
      <c r="BQ5" s="22" t="inlineStr">
        <is>
          <t>6-9 AM Delta</t>
        </is>
      </c>
      <c r="BR5" s="22" t="inlineStr">
        <is>
          <t>Median Off</t>
        </is>
      </c>
      <c r="BS5" s="22" t="inlineStr">
        <is>
          <t>Median On</t>
        </is>
      </c>
      <c r="BT5" s="22" t="inlineStr">
        <is>
          <t>Median Delta</t>
        </is>
      </c>
      <c r="BU5" s="22" t="inlineStr">
        <is>
          <t>P90 Off</t>
        </is>
      </c>
      <c r="BV5" s="22" t="inlineStr">
        <is>
          <t>P90 On</t>
        </is>
      </c>
      <c r="BW5" s="22" t="inlineStr">
        <is>
          <t>P90 Delta</t>
        </is>
      </c>
      <c r="BX5" s="54" t="inlineStr">
        <is>
          <t>Days Logged</t>
        </is>
      </c>
      <c r="BY5" s="54" t="inlineStr">
        <is>
          <t>Avg Weight Off (lb)</t>
        </is>
      </c>
      <c r="BZ5" s="54" t="inlineStr">
        <is>
          <t>Avg Weight On (lb)</t>
        </is>
      </c>
      <c r="CA5" s="54" t="inlineStr">
        <is>
          <t>Weight Change (lb)</t>
        </is>
      </c>
      <c r="CB5" s="54" t="inlineStr">
        <is>
          <t>Weight Change %</t>
        </is>
      </c>
      <c r="CC5" s="54" t="inlineStr">
        <is>
          <t>Avg Dose Time (On)</t>
        </is>
      </c>
      <c r="CD5" s="54" t="inlineStr">
        <is>
          <t>Dose Time SD (min)</t>
        </is>
      </c>
      <c r="CE5" s="54" t="inlineStr">
        <is>
          <t>Dose-Time Days (On)</t>
        </is>
      </c>
      <c r="CF5" s="54" t="inlineStr">
        <is>
          <t>Avg Taste (1-5)</t>
        </is>
      </c>
      <c r="CG5" s="54" t="inlineStr">
        <is>
          <t>Avg Aftertaste (1-5)</t>
        </is>
      </c>
      <c r="CH5" s="54" t="inlineStr">
        <is>
          <t>Taste Days Logged</t>
        </is>
      </c>
    </row>
    <row r="6">
      <c r="A6" s="24" t="n"/>
      <c r="B6" s="24" t="n"/>
      <c r="C6" s="24" t="n"/>
      <c r="D6" s="24" t="n"/>
      <c r="E6" s="55" t="n"/>
      <c r="F6" s="26" t="n"/>
      <c r="G6" s="26" t="n"/>
      <c r="H6" s="47" t="n"/>
      <c r="I6" s="26" t="n"/>
      <c r="J6" s="26" t="n"/>
      <c r="K6" s="47" t="n"/>
      <c r="L6" s="47" t="n"/>
      <c r="M6" s="47" t="n"/>
      <c r="N6" s="47" t="n"/>
      <c r="O6" s="47" t="n"/>
      <c r="P6" s="27" t="n"/>
      <c r="Q6" s="27" t="n"/>
      <c r="R6" s="27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6" t="n"/>
      <c r="AD6" s="56" t="n"/>
      <c r="AE6" s="56" t="n"/>
      <c r="AF6" s="56" t="n"/>
      <c r="AG6" s="56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47" t="n"/>
      <c r="AU6" s="47" t="n"/>
      <c r="AV6" s="47" t="n"/>
      <c r="AW6" s="56" t="n"/>
      <c r="AX6" s="56" t="n"/>
      <c r="AY6" s="56" t="n"/>
      <c r="AZ6" s="47" t="n"/>
      <c r="BA6" s="47" t="n"/>
      <c r="BB6" s="47" t="n"/>
      <c r="BC6" s="27" t="n"/>
      <c r="BD6" s="27" t="n"/>
      <c r="BE6" s="27" t="n"/>
      <c r="BF6" s="47" t="n"/>
      <c r="BG6" s="47" t="n"/>
      <c r="BH6" s="47" t="n"/>
      <c r="BI6" s="47" t="n"/>
      <c r="BJ6" s="47" t="n"/>
      <c r="BK6" s="47" t="n"/>
      <c r="BL6" s="47" t="n"/>
      <c r="BM6" s="47" t="n"/>
      <c r="BN6" s="47" t="n"/>
      <c r="BO6" s="47" t="n"/>
      <c r="BP6" s="47" t="n"/>
      <c r="BQ6" s="47" t="n"/>
      <c r="BR6" s="47" t="n"/>
      <c r="BS6" s="47" t="n"/>
      <c r="BT6" s="47" t="n"/>
      <c r="BU6" s="47" t="n"/>
      <c r="BV6" s="47" t="n"/>
      <c r="BW6" s="47" t="n"/>
      <c r="BY6" s="57" t="n"/>
      <c r="BZ6" s="57" t="n"/>
      <c r="CA6" s="57" t="n"/>
      <c r="CB6" s="58" t="n"/>
      <c r="CC6" s="59" t="n"/>
      <c r="CF6" s="60" t="n"/>
      <c r="CG6" s="60" t="n"/>
    </row>
    <row r="7">
      <c r="A7" s="24" t="n"/>
      <c r="B7" s="24" t="n"/>
      <c r="C7" s="24" t="n"/>
      <c r="D7" s="24" t="n"/>
      <c r="E7" s="55" t="n"/>
      <c r="F7" s="26" t="n"/>
      <c r="G7" s="26" t="n"/>
      <c r="H7" s="47" t="n"/>
      <c r="I7" s="26" t="n"/>
      <c r="J7" s="26" t="n"/>
      <c r="K7" s="47" t="n"/>
      <c r="L7" s="47" t="n"/>
      <c r="M7" s="47" t="n"/>
      <c r="N7" s="47" t="n"/>
      <c r="O7" s="47" t="n"/>
      <c r="P7" s="27" t="n"/>
      <c r="Q7" s="27" t="n"/>
      <c r="R7" s="27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47" t="n"/>
      <c r="AU7" s="47" t="n"/>
      <c r="AV7" s="47" t="n"/>
      <c r="AW7" s="56" t="n"/>
      <c r="AX7" s="56" t="n"/>
      <c r="AY7" s="56" t="n"/>
      <c r="AZ7" s="47" t="n"/>
      <c r="BA7" s="47" t="n"/>
      <c r="BB7" s="47" t="n"/>
      <c r="BC7" s="27" t="n"/>
      <c r="BD7" s="27" t="n"/>
      <c r="BE7" s="27" t="n"/>
      <c r="BF7" s="47" t="n"/>
      <c r="BG7" s="47" t="n"/>
      <c r="BH7" s="47" t="n"/>
      <c r="BI7" s="47" t="n"/>
      <c r="BJ7" s="47" t="n"/>
      <c r="BK7" s="47" t="n"/>
      <c r="BL7" s="47" t="n"/>
      <c r="BM7" s="47" t="n"/>
      <c r="BN7" s="47" t="n"/>
      <c r="BO7" s="47" t="n"/>
      <c r="BP7" s="47" t="n"/>
      <c r="BQ7" s="47" t="n"/>
      <c r="BR7" s="47" t="n"/>
      <c r="BS7" s="47" t="n"/>
      <c r="BT7" s="47" t="n"/>
      <c r="BU7" s="47" t="n"/>
      <c r="BV7" s="47" t="n"/>
      <c r="BW7" s="47" t="n"/>
      <c r="BY7" s="57" t="n"/>
      <c r="BZ7" s="57" t="n"/>
      <c r="CA7" s="57" t="n"/>
      <c r="CB7" s="58" t="n"/>
      <c r="CC7" s="59" t="n"/>
      <c r="CF7" s="60" t="n"/>
      <c r="CG7" s="60" t="n"/>
    </row>
    <row r="8">
      <c r="A8" s="24" t="n"/>
      <c r="B8" s="24" t="n"/>
      <c r="C8" s="24" t="n"/>
      <c r="D8" s="24" t="n"/>
      <c r="E8" s="55" t="n"/>
      <c r="F8" s="26" t="n"/>
      <c r="G8" s="26" t="n"/>
      <c r="H8" s="47" t="n"/>
      <c r="I8" s="26" t="n"/>
      <c r="J8" s="26" t="n"/>
      <c r="K8" s="47" t="n"/>
      <c r="L8" s="47" t="n"/>
      <c r="M8" s="47" t="n"/>
      <c r="N8" s="47" t="n"/>
      <c r="O8" s="47" t="n"/>
      <c r="P8" s="27" t="n"/>
      <c r="Q8" s="27" t="n"/>
      <c r="R8" s="27" t="n"/>
      <c r="S8" s="56" t="n"/>
      <c r="T8" s="56" t="n"/>
      <c r="U8" s="56" t="n"/>
      <c r="V8" s="56" t="n"/>
      <c r="W8" s="56" t="n"/>
      <c r="X8" s="56" t="n"/>
      <c r="Y8" s="56" t="n"/>
      <c r="Z8" s="56" t="n"/>
      <c r="AA8" s="56" t="n"/>
      <c r="AB8" s="56" t="n"/>
      <c r="AC8" s="56" t="n"/>
      <c r="AD8" s="56" t="n"/>
      <c r="AE8" s="56" t="n"/>
      <c r="AF8" s="56" t="n"/>
      <c r="AG8" s="56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47" t="n"/>
      <c r="AU8" s="47" t="n"/>
      <c r="AV8" s="47" t="n"/>
      <c r="AW8" s="56" t="n"/>
      <c r="AX8" s="56" t="n"/>
      <c r="AY8" s="56" t="n"/>
      <c r="AZ8" s="47" t="n"/>
      <c r="BA8" s="47" t="n"/>
      <c r="BB8" s="47" t="n"/>
      <c r="BC8" s="27" t="n"/>
      <c r="BD8" s="27" t="n"/>
      <c r="BE8" s="27" t="n"/>
      <c r="BF8" s="47" t="n"/>
      <c r="BG8" s="47" t="n"/>
      <c r="BH8" s="47" t="n"/>
      <c r="BI8" s="47" t="n"/>
      <c r="BJ8" s="47" t="n"/>
      <c r="BK8" s="47" t="n"/>
      <c r="BL8" s="47" t="n"/>
      <c r="BM8" s="47" t="n"/>
      <c r="BN8" s="47" t="n"/>
      <c r="BO8" s="47" t="n"/>
      <c r="BP8" s="47" t="n"/>
      <c r="BQ8" s="47" t="n"/>
      <c r="BR8" s="47" t="n"/>
      <c r="BS8" s="47" t="n"/>
      <c r="BT8" s="47" t="n"/>
      <c r="BU8" s="47" t="n"/>
      <c r="BV8" s="47" t="n"/>
      <c r="BW8" s="47" t="n"/>
      <c r="BY8" s="57" t="n"/>
      <c r="BZ8" s="57" t="n"/>
      <c r="CA8" s="57" t="n"/>
      <c r="CB8" s="58" t="n"/>
      <c r="CC8" s="59" t="n"/>
      <c r="CF8" s="60" t="n"/>
      <c r="CG8" s="60" t="n"/>
    </row>
    <row r="9">
      <c r="A9" s="24" t="n"/>
      <c r="B9" s="24" t="n"/>
      <c r="C9" s="24" t="n"/>
      <c r="D9" s="24" t="n"/>
      <c r="E9" s="55" t="n"/>
      <c r="F9" s="26" t="n"/>
      <c r="G9" s="26" t="n"/>
      <c r="H9" s="47" t="n"/>
      <c r="I9" s="26" t="n"/>
      <c r="J9" s="26" t="n"/>
      <c r="K9" s="47" t="n"/>
      <c r="L9" s="47" t="n"/>
      <c r="M9" s="47" t="n"/>
      <c r="N9" s="47" t="n"/>
      <c r="O9" s="47" t="n"/>
      <c r="P9" s="27" t="n"/>
      <c r="Q9" s="27" t="n"/>
      <c r="R9" s="27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47" t="n"/>
      <c r="AU9" s="47" t="n"/>
      <c r="AV9" s="47" t="n"/>
      <c r="AW9" s="56" t="n"/>
      <c r="AX9" s="56" t="n"/>
      <c r="AY9" s="56" t="n"/>
      <c r="AZ9" s="47" t="n"/>
      <c r="BA9" s="47" t="n"/>
      <c r="BB9" s="47" t="n"/>
      <c r="BC9" s="27" t="n"/>
      <c r="BD9" s="27" t="n"/>
      <c r="BE9" s="27" t="n"/>
      <c r="BF9" s="47" t="n"/>
      <c r="BG9" s="47" t="n"/>
      <c r="BH9" s="47" t="n"/>
      <c r="BI9" s="47" t="n"/>
      <c r="BJ9" s="47" t="n"/>
      <c r="BK9" s="47" t="n"/>
      <c r="BL9" s="47" t="n"/>
      <c r="BM9" s="47" t="n"/>
      <c r="BN9" s="47" t="n"/>
      <c r="BO9" s="47" t="n"/>
      <c r="BP9" s="47" t="n"/>
      <c r="BQ9" s="47" t="n"/>
      <c r="BR9" s="47" t="n"/>
      <c r="BS9" s="47" t="n"/>
      <c r="BT9" s="47" t="n"/>
      <c r="BU9" s="47" t="n"/>
      <c r="BV9" s="47" t="n"/>
      <c r="BW9" s="47" t="n"/>
      <c r="BY9" s="57" t="n"/>
      <c r="BZ9" s="57" t="n"/>
      <c r="CA9" s="57" t="n"/>
      <c r="CB9" s="58" t="n"/>
      <c r="CC9" s="59" t="n"/>
      <c r="CF9" s="60" t="n"/>
      <c r="CG9" s="60" t="n"/>
    </row>
    <row r="10">
      <c r="A10" s="24" t="n"/>
      <c r="B10" s="24" t="n"/>
      <c r="C10" s="24" t="n"/>
      <c r="D10" s="24" t="n"/>
      <c r="E10" s="55" t="n"/>
      <c r="F10" s="26" t="n"/>
      <c r="G10" s="26" t="n"/>
      <c r="H10" s="47" t="n"/>
      <c r="I10" s="26" t="n"/>
      <c r="J10" s="26" t="n"/>
      <c r="K10" s="47" t="n"/>
      <c r="L10" s="47" t="n"/>
      <c r="M10" s="47" t="n"/>
      <c r="N10" s="47" t="n"/>
      <c r="O10" s="47" t="n"/>
      <c r="P10" s="27" t="n"/>
      <c r="Q10" s="27" t="n"/>
      <c r="R10" s="27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47" t="n"/>
      <c r="AU10" s="47" t="n"/>
      <c r="AV10" s="47" t="n"/>
      <c r="AW10" s="56" t="n"/>
      <c r="AX10" s="56" t="n"/>
      <c r="AY10" s="56" t="n"/>
      <c r="AZ10" s="47" t="n"/>
      <c r="BA10" s="47" t="n"/>
      <c r="BB10" s="47" t="n"/>
      <c r="BC10" s="27" t="n"/>
      <c r="BD10" s="27" t="n"/>
      <c r="BE10" s="27" t="n"/>
      <c r="BF10" s="47" t="n"/>
      <c r="BG10" s="47" t="n"/>
      <c r="BH10" s="47" t="n"/>
      <c r="BI10" s="47" t="n"/>
      <c r="BJ10" s="47" t="n"/>
      <c r="BK10" s="47" t="n"/>
      <c r="BL10" s="47" t="n"/>
      <c r="BM10" s="47" t="n"/>
      <c r="BN10" s="47" t="n"/>
      <c r="BO10" s="47" t="n"/>
      <c r="BP10" s="47" t="n"/>
      <c r="BQ10" s="47" t="n"/>
      <c r="BR10" s="47" t="n"/>
      <c r="BS10" s="47" t="n"/>
      <c r="BT10" s="47" t="n"/>
      <c r="BU10" s="47" t="n"/>
      <c r="BV10" s="47" t="n"/>
      <c r="BW10" s="47" t="n"/>
      <c r="BY10" s="57" t="n"/>
      <c r="BZ10" s="57" t="n"/>
      <c r="CA10" s="57" t="n"/>
      <c r="CB10" s="58" t="n"/>
      <c r="CC10" s="59" t="n"/>
      <c r="CF10" s="60" t="n"/>
      <c r="CG10" s="60" t="n"/>
    </row>
    <row r="11">
      <c r="A11" s="24" t="n"/>
      <c r="B11" s="24" t="n"/>
      <c r="C11" s="24" t="n"/>
      <c r="D11" s="24" t="n"/>
      <c r="E11" s="55" t="n"/>
      <c r="F11" s="26" t="n"/>
      <c r="G11" s="26" t="n"/>
      <c r="H11" s="47" t="n"/>
      <c r="I11" s="26" t="n"/>
      <c r="J11" s="26" t="n"/>
      <c r="K11" s="47" t="n"/>
      <c r="L11" s="47" t="n"/>
      <c r="M11" s="47" t="n"/>
      <c r="N11" s="47" t="n"/>
      <c r="O11" s="47" t="n"/>
      <c r="P11" s="27" t="n"/>
      <c r="Q11" s="27" t="n"/>
      <c r="R11" s="27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47" t="n"/>
      <c r="AU11" s="47" t="n"/>
      <c r="AV11" s="47" t="n"/>
      <c r="AW11" s="56" t="n"/>
      <c r="AX11" s="56" t="n"/>
      <c r="AY11" s="56" t="n"/>
      <c r="AZ11" s="47" t="n"/>
      <c r="BA11" s="47" t="n"/>
      <c r="BB11" s="47" t="n"/>
      <c r="BC11" s="27" t="n"/>
      <c r="BD11" s="27" t="n"/>
      <c r="BE11" s="27" t="n"/>
      <c r="BF11" s="47" t="n"/>
      <c r="BG11" s="47" t="n"/>
      <c r="BH11" s="47" t="n"/>
      <c r="BI11" s="47" t="n"/>
      <c r="BJ11" s="47" t="n"/>
      <c r="BK11" s="47" t="n"/>
      <c r="BL11" s="47" t="n"/>
      <c r="BM11" s="47" t="n"/>
      <c r="BN11" s="47" t="n"/>
      <c r="BO11" s="47" t="n"/>
      <c r="BP11" s="47" t="n"/>
      <c r="BQ11" s="47" t="n"/>
      <c r="BR11" s="47" t="n"/>
      <c r="BS11" s="47" t="n"/>
      <c r="BT11" s="47" t="n"/>
      <c r="BU11" s="47" t="n"/>
      <c r="BV11" s="47" t="n"/>
      <c r="BW11" s="47" t="n"/>
      <c r="BY11" s="57" t="n"/>
      <c r="BZ11" s="57" t="n"/>
      <c r="CA11" s="57" t="n"/>
      <c r="CB11" s="58" t="n"/>
      <c r="CC11" s="59" t="n"/>
      <c r="CF11" s="60" t="n"/>
      <c r="CG11" s="60" t="n"/>
    </row>
    <row r="12">
      <c r="A12" s="24" t="n"/>
      <c r="B12" s="24" t="n"/>
      <c r="C12" s="24" t="n"/>
      <c r="D12" s="24" t="n"/>
      <c r="E12" s="55" t="n"/>
      <c r="F12" s="26" t="n"/>
      <c r="G12" s="26" t="n"/>
      <c r="H12" s="47" t="n"/>
      <c r="I12" s="26" t="n"/>
      <c r="J12" s="26" t="n"/>
      <c r="K12" s="47" t="n"/>
      <c r="L12" s="47" t="n"/>
      <c r="M12" s="47" t="n"/>
      <c r="N12" s="47" t="n"/>
      <c r="O12" s="47" t="n"/>
      <c r="P12" s="27" t="n"/>
      <c r="Q12" s="27" t="n"/>
      <c r="R12" s="27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47" t="n"/>
      <c r="AU12" s="47" t="n"/>
      <c r="AV12" s="47" t="n"/>
      <c r="AW12" s="56" t="n"/>
      <c r="AX12" s="56" t="n"/>
      <c r="AY12" s="56" t="n"/>
      <c r="AZ12" s="47" t="n"/>
      <c r="BA12" s="47" t="n"/>
      <c r="BB12" s="47" t="n"/>
      <c r="BC12" s="27" t="n"/>
      <c r="BD12" s="27" t="n"/>
      <c r="BE12" s="27" t="n"/>
      <c r="BF12" s="47" t="n"/>
      <c r="BG12" s="47" t="n"/>
      <c r="BH12" s="47" t="n"/>
      <c r="BI12" s="47" t="n"/>
      <c r="BJ12" s="47" t="n"/>
      <c r="BK12" s="47" t="n"/>
      <c r="BL12" s="47" t="n"/>
      <c r="BM12" s="47" t="n"/>
      <c r="BN12" s="47" t="n"/>
      <c r="BO12" s="47" t="n"/>
      <c r="BP12" s="47" t="n"/>
      <c r="BQ12" s="47" t="n"/>
      <c r="BR12" s="47" t="n"/>
      <c r="BS12" s="47" t="n"/>
      <c r="BT12" s="47" t="n"/>
      <c r="BU12" s="47" t="n"/>
      <c r="BV12" s="47" t="n"/>
      <c r="BW12" s="47" t="n"/>
      <c r="BY12" s="57" t="n"/>
      <c r="BZ12" s="57" t="n"/>
      <c r="CA12" s="57" t="n"/>
      <c r="CB12" s="58" t="n"/>
      <c r="CC12" s="59" t="n"/>
      <c r="CF12" s="60" t="n"/>
      <c r="CG12" s="60" t="n"/>
    </row>
    <row r="13">
      <c r="A13" s="24" t="n"/>
      <c r="B13" s="24" t="n"/>
      <c r="C13" s="24" t="n"/>
      <c r="D13" s="24" t="n"/>
      <c r="E13" s="55" t="n"/>
      <c r="F13" s="26" t="n"/>
      <c r="G13" s="26" t="n"/>
      <c r="H13" s="47" t="n"/>
      <c r="I13" s="26" t="n"/>
      <c r="J13" s="26" t="n"/>
      <c r="K13" s="47" t="n"/>
      <c r="L13" s="47" t="n"/>
      <c r="M13" s="47" t="n"/>
      <c r="N13" s="47" t="n"/>
      <c r="O13" s="47" t="n"/>
      <c r="P13" s="27" t="n"/>
      <c r="Q13" s="27" t="n"/>
      <c r="R13" s="27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47" t="n"/>
      <c r="AU13" s="47" t="n"/>
      <c r="AV13" s="47" t="n"/>
      <c r="AW13" s="56" t="n"/>
      <c r="AX13" s="56" t="n"/>
      <c r="AY13" s="56" t="n"/>
      <c r="AZ13" s="47" t="n"/>
      <c r="BA13" s="47" t="n"/>
      <c r="BB13" s="47" t="n"/>
      <c r="BC13" s="27" t="n"/>
      <c r="BD13" s="27" t="n"/>
      <c r="BE13" s="27" t="n"/>
      <c r="BF13" s="47" t="n"/>
      <c r="BG13" s="47" t="n"/>
      <c r="BH13" s="47" t="n"/>
      <c r="BI13" s="47" t="n"/>
      <c r="BJ13" s="47" t="n"/>
      <c r="BK13" s="47" t="n"/>
      <c r="BL13" s="47" t="n"/>
      <c r="BM13" s="47" t="n"/>
      <c r="BN13" s="47" t="n"/>
      <c r="BO13" s="47" t="n"/>
      <c r="BP13" s="47" t="n"/>
      <c r="BQ13" s="47" t="n"/>
      <c r="BR13" s="47" t="n"/>
      <c r="BS13" s="47" t="n"/>
      <c r="BT13" s="47" t="n"/>
      <c r="BU13" s="47" t="n"/>
      <c r="BV13" s="47" t="n"/>
      <c r="BW13" s="47" t="n"/>
      <c r="BY13" s="57" t="n"/>
      <c r="BZ13" s="57" t="n"/>
      <c r="CA13" s="57" t="n"/>
      <c r="CB13" s="58" t="n"/>
      <c r="CC13" s="59" t="n"/>
      <c r="CF13" s="60" t="n"/>
      <c r="CG13" s="60" t="n"/>
    </row>
    <row r="14">
      <c r="A14" s="24" t="n"/>
      <c r="B14" s="24" t="n"/>
      <c r="C14" s="24" t="n"/>
      <c r="D14" s="24" t="n"/>
      <c r="E14" s="55" t="n"/>
      <c r="F14" s="26" t="n"/>
      <c r="G14" s="26" t="n"/>
      <c r="H14" s="47" t="n"/>
      <c r="I14" s="26" t="n"/>
      <c r="J14" s="26" t="n"/>
      <c r="K14" s="47" t="n"/>
      <c r="L14" s="47" t="n"/>
      <c r="M14" s="47" t="n"/>
      <c r="N14" s="47" t="n"/>
      <c r="O14" s="47" t="n"/>
      <c r="P14" s="27" t="n"/>
      <c r="Q14" s="27" t="n"/>
      <c r="R14" s="27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47" t="n"/>
      <c r="AU14" s="47" t="n"/>
      <c r="AV14" s="47" t="n"/>
      <c r="AW14" s="56" t="n"/>
      <c r="AX14" s="56" t="n"/>
      <c r="AY14" s="56" t="n"/>
      <c r="AZ14" s="47" t="n"/>
      <c r="BA14" s="47" t="n"/>
      <c r="BB14" s="47" t="n"/>
      <c r="BC14" s="27" t="n"/>
      <c r="BD14" s="27" t="n"/>
      <c r="BE14" s="27" t="n"/>
      <c r="BF14" s="47" t="n"/>
      <c r="BG14" s="47" t="n"/>
      <c r="BH14" s="47" t="n"/>
      <c r="BI14" s="47" t="n"/>
      <c r="BJ14" s="47" t="n"/>
      <c r="BK14" s="47" t="n"/>
      <c r="BL14" s="47" t="n"/>
      <c r="BM14" s="47" t="n"/>
      <c r="BN14" s="47" t="n"/>
      <c r="BO14" s="47" t="n"/>
      <c r="BP14" s="47" t="n"/>
      <c r="BQ14" s="47" t="n"/>
      <c r="BR14" s="47" t="n"/>
      <c r="BS14" s="47" t="n"/>
      <c r="BT14" s="47" t="n"/>
      <c r="BU14" s="47" t="n"/>
      <c r="BV14" s="47" t="n"/>
      <c r="BW14" s="47" t="n"/>
      <c r="BY14" s="57" t="n"/>
      <c r="BZ14" s="57" t="n"/>
      <c r="CA14" s="57" t="n"/>
      <c r="CB14" s="58" t="n"/>
      <c r="CC14" s="59" t="n"/>
      <c r="CF14" s="60" t="n"/>
      <c r="CG14" s="60" t="n"/>
    </row>
    <row r="15">
      <c r="A15" s="24" t="n"/>
      <c r="B15" s="24" t="n"/>
      <c r="C15" s="24" t="n"/>
      <c r="D15" s="24" t="n"/>
      <c r="E15" s="55" t="n"/>
      <c r="F15" s="26" t="n"/>
      <c r="G15" s="26" t="n"/>
      <c r="H15" s="47" t="n"/>
      <c r="I15" s="26" t="n"/>
      <c r="J15" s="26" t="n"/>
      <c r="K15" s="47" t="n"/>
      <c r="L15" s="47" t="n"/>
      <c r="M15" s="47" t="n"/>
      <c r="N15" s="47" t="n"/>
      <c r="O15" s="47" t="n"/>
      <c r="P15" s="27" t="n"/>
      <c r="Q15" s="27" t="n"/>
      <c r="R15" s="27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47" t="n"/>
      <c r="AU15" s="47" t="n"/>
      <c r="AV15" s="47" t="n"/>
      <c r="AW15" s="56" t="n"/>
      <c r="AX15" s="56" t="n"/>
      <c r="AY15" s="56" t="n"/>
      <c r="AZ15" s="47" t="n"/>
      <c r="BA15" s="47" t="n"/>
      <c r="BB15" s="47" t="n"/>
      <c r="BC15" s="27" t="n"/>
      <c r="BD15" s="27" t="n"/>
      <c r="BE15" s="27" t="n"/>
      <c r="BF15" s="47" t="n"/>
      <c r="BG15" s="47" t="n"/>
      <c r="BH15" s="47" t="n"/>
      <c r="BI15" s="47" t="n"/>
      <c r="BJ15" s="47" t="n"/>
      <c r="BK15" s="47" t="n"/>
      <c r="BL15" s="47" t="n"/>
      <c r="BM15" s="47" t="n"/>
      <c r="BN15" s="47" t="n"/>
      <c r="BO15" s="47" t="n"/>
      <c r="BP15" s="47" t="n"/>
      <c r="BQ15" s="47" t="n"/>
      <c r="BR15" s="47" t="n"/>
      <c r="BS15" s="47" t="n"/>
      <c r="BT15" s="47" t="n"/>
      <c r="BU15" s="47" t="n"/>
      <c r="BV15" s="47" t="n"/>
      <c r="BW15" s="47" t="n"/>
      <c r="BY15" s="57" t="n"/>
      <c r="BZ15" s="57" t="n"/>
      <c r="CA15" s="57" t="n"/>
      <c r="CB15" s="58" t="n"/>
      <c r="CC15" s="59" t="n"/>
      <c r="CF15" s="60" t="n"/>
      <c r="CG15" s="60" t="n"/>
    </row>
    <row r="16">
      <c r="A16" s="24" t="n"/>
      <c r="B16" s="24" t="n"/>
      <c r="C16" s="24" t="n"/>
      <c r="D16" s="24" t="n"/>
      <c r="E16" s="55" t="n"/>
      <c r="F16" s="26" t="n"/>
      <c r="G16" s="26" t="n"/>
      <c r="H16" s="47" t="n"/>
      <c r="I16" s="26" t="n"/>
      <c r="J16" s="26" t="n"/>
      <c r="K16" s="47" t="n"/>
      <c r="L16" s="47" t="n"/>
      <c r="M16" s="47" t="n"/>
      <c r="N16" s="47" t="n"/>
      <c r="O16" s="47" t="n"/>
      <c r="P16" s="27" t="n"/>
      <c r="Q16" s="27" t="n"/>
      <c r="R16" s="27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47" t="n"/>
      <c r="AU16" s="47" t="n"/>
      <c r="AV16" s="47" t="n"/>
      <c r="AW16" s="56" t="n"/>
      <c r="AX16" s="56" t="n"/>
      <c r="AY16" s="56" t="n"/>
      <c r="AZ16" s="47" t="n"/>
      <c r="BA16" s="47" t="n"/>
      <c r="BB16" s="47" t="n"/>
      <c r="BC16" s="27" t="n"/>
      <c r="BD16" s="27" t="n"/>
      <c r="BE16" s="27" t="n"/>
      <c r="BF16" s="47" t="n"/>
      <c r="BG16" s="47" t="n"/>
      <c r="BH16" s="47" t="n"/>
      <c r="BI16" s="47" t="n"/>
      <c r="BJ16" s="47" t="n"/>
      <c r="BK16" s="47" t="n"/>
      <c r="BL16" s="47" t="n"/>
      <c r="BM16" s="47" t="n"/>
      <c r="BN16" s="47" t="n"/>
      <c r="BO16" s="47" t="n"/>
      <c r="BP16" s="47" t="n"/>
      <c r="BQ16" s="47" t="n"/>
      <c r="BR16" s="47" t="n"/>
      <c r="BS16" s="47" t="n"/>
      <c r="BT16" s="47" t="n"/>
      <c r="BU16" s="47" t="n"/>
      <c r="BV16" s="47" t="n"/>
      <c r="BW16" s="47" t="n"/>
      <c r="BY16" s="57" t="n"/>
      <c r="BZ16" s="57" t="n"/>
      <c r="CA16" s="57" t="n"/>
      <c r="CB16" s="58" t="n"/>
      <c r="CC16" s="59" t="n"/>
      <c r="CF16" s="60" t="n"/>
      <c r="CG16" s="60" t="n"/>
    </row>
    <row r="17">
      <c r="A17" s="24" t="n"/>
      <c r="B17" s="24" t="n"/>
      <c r="C17" s="24" t="n"/>
      <c r="D17" s="24" t="n"/>
      <c r="E17" s="55" t="n"/>
      <c r="F17" s="26" t="n"/>
      <c r="G17" s="26" t="n"/>
      <c r="H17" s="47" t="n"/>
      <c r="I17" s="26" t="n"/>
      <c r="J17" s="26" t="n"/>
      <c r="K17" s="47" t="n"/>
      <c r="L17" s="47" t="n"/>
      <c r="M17" s="47" t="n"/>
      <c r="N17" s="47" t="n"/>
      <c r="O17" s="47" t="n"/>
      <c r="P17" s="27" t="n"/>
      <c r="Q17" s="27" t="n"/>
      <c r="R17" s="27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47" t="n"/>
      <c r="AU17" s="47" t="n"/>
      <c r="AV17" s="47" t="n"/>
      <c r="AW17" s="56" t="n"/>
      <c r="AX17" s="56" t="n"/>
      <c r="AY17" s="56" t="n"/>
      <c r="AZ17" s="47" t="n"/>
      <c r="BA17" s="47" t="n"/>
      <c r="BB17" s="47" t="n"/>
      <c r="BC17" s="27" t="n"/>
      <c r="BD17" s="27" t="n"/>
      <c r="BE17" s="27" t="n"/>
      <c r="BF17" s="47" t="n"/>
      <c r="BG17" s="47" t="n"/>
      <c r="BH17" s="47" t="n"/>
      <c r="BI17" s="47" t="n"/>
      <c r="BJ17" s="47" t="n"/>
      <c r="BK17" s="47" t="n"/>
      <c r="BL17" s="47" t="n"/>
      <c r="BM17" s="47" t="n"/>
      <c r="BN17" s="47" t="n"/>
      <c r="BO17" s="47" t="n"/>
      <c r="BP17" s="47" t="n"/>
      <c r="BQ17" s="47" t="n"/>
      <c r="BR17" s="47" t="n"/>
      <c r="BS17" s="47" t="n"/>
      <c r="BT17" s="47" t="n"/>
      <c r="BU17" s="47" t="n"/>
      <c r="BV17" s="47" t="n"/>
      <c r="BW17" s="47" t="n"/>
      <c r="BY17" s="57" t="n"/>
      <c r="BZ17" s="57" t="n"/>
      <c r="CA17" s="57" t="n"/>
      <c r="CB17" s="58" t="n"/>
      <c r="CC17" s="59" t="n"/>
      <c r="CF17" s="60" t="n"/>
      <c r="CG17" s="60" t="n"/>
    </row>
    <row r="18">
      <c r="A18" s="24" t="n"/>
      <c r="B18" s="24" t="n"/>
      <c r="C18" s="24" t="n"/>
      <c r="D18" s="24" t="n"/>
      <c r="E18" s="55" t="n"/>
      <c r="F18" s="26" t="n"/>
      <c r="G18" s="26" t="n"/>
      <c r="H18" s="47" t="n"/>
      <c r="I18" s="26" t="n"/>
      <c r="J18" s="26" t="n"/>
      <c r="K18" s="47" t="n"/>
      <c r="L18" s="47" t="n"/>
      <c r="M18" s="47" t="n"/>
      <c r="N18" s="47" t="n"/>
      <c r="O18" s="47" t="n"/>
      <c r="P18" s="27" t="n"/>
      <c r="Q18" s="27" t="n"/>
      <c r="R18" s="27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47" t="n"/>
      <c r="AU18" s="47" t="n"/>
      <c r="AV18" s="47" t="n"/>
      <c r="AW18" s="56" t="n"/>
      <c r="AX18" s="56" t="n"/>
      <c r="AY18" s="56" t="n"/>
      <c r="AZ18" s="47" t="n"/>
      <c r="BA18" s="47" t="n"/>
      <c r="BB18" s="47" t="n"/>
      <c r="BC18" s="27" t="n"/>
      <c r="BD18" s="27" t="n"/>
      <c r="BE18" s="27" t="n"/>
      <c r="BF18" s="47" t="n"/>
      <c r="BG18" s="47" t="n"/>
      <c r="BH18" s="47" t="n"/>
      <c r="BI18" s="47" t="n"/>
      <c r="BJ18" s="47" t="n"/>
      <c r="BK18" s="47" t="n"/>
      <c r="BL18" s="47" t="n"/>
      <c r="BM18" s="47" t="n"/>
      <c r="BN18" s="47" t="n"/>
      <c r="BO18" s="47" t="n"/>
      <c r="BP18" s="47" t="n"/>
      <c r="BQ18" s="47" t="n"/>
      <c r="BR18" s="47" t="n"/>
      <c r="BS18" s="47" t="n"/>
      <c r="BT18" s="47" t="n"/>
      <c r="BU18" s="47" t="n"/>
      <c r="BV18" s="47" t="n"/>
      <c r="BW18" s="47" t="n"/>
      <c r="BY18" s="57" t="n"/>
      <c r="BZ18" s="57" t="n"/>
      <c r="CA18" s="57" t="n"/>
      <c r="CB18" s="58" t="n"/>
      <c r="CC18" s="59" t="n"/>
      <c r="CF18" s="60" t="n"/>
      <c r="CG18" s="60" t="n"/>
    </row>
    <row r="19">
      <c r="A19" s="24" t="n"/>
      <c r="B19" s="24" t="n"/>
      <c r="C19" s="24" t="n"/>
      <c r="D19" s="24" t="n"/>
      <c r="E19" s="55" t="n"/>
      <c r="F19" s="26" t="n"/>
      <c r="G19" s="26" t="n"/>
      <c r="H19" s="47" t="n"/>
      <c r="I19" s="26" t="n"/>
      <c r="J19" s="26" t="n"/>
      <c r="K19" s="47" t="n"/>
      <c r="L19" s="47" t="n"/>
      <c r="M19" s="47" t="n"/>
      <c r="N19" s="47" t="n"/>
      <c r="O19" s="47" t="n"/>
      <c r="P19" s="27" t="n"/>
      <c r="Q19" s="27" t="n"/>
      <c r="R19" s="27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  <c r="AS19" s="27" t="n"/>
      <c r="AT19" s="47" t="n"/>
      <c r="AU19" s="47" t="n"/>
      <c r="AV19" s="47" t="n"/>
      <c r="AW19" s="56" t="n"/>
      <c r="AX19" s="56" t="n"/>
      <c r="AY19" s="56" t="n"/>
      <c r="AZ19" s="47" t="n"/>
      <c r="BA19" s="47" t="n"/>
      <c r="BB19" s="47" t="n"/>
      <c r="BC19" s="27" t="n"/>
      <c r="BD19" s="27" t="n"/>
      <c r="BE19" s="27" t="n"/>
      <c r="BF19" s="47" t="n"/>
      <c r="BG19" s="47" t="n"/>
      <c r="BH19" s="47" t="n"/>
      <c r="BI19" s="47" t="n"/>
      <c r="BJ19" s="47" t="n"/>
      <c r="BK19" s="47" t="n"/>
      <c r="BL19" s="47" t="n"/>
      <c r="BM19" s="47" t="n"/>
      <c r="BN19" s="47" t="n"/>
      <c r="BO19" s="47" t="n"/>
      <c r="BP19" s="47" t="n"/>
      <c r="BQ19" s="47" t="n"/>
      <c r="BR19" s="47" t="n"/>
      <c r="BS19" s="47" t="n"/>
      <c r="BT19" s="47" t="n"/>
      <c r="BU19" s="47" t="n"/>
      <c r="BV19" s="47" t="n"/>
      <c r="BW19" s="47" t="n"/>
      <c r="BY19" s="57" t="n"/>
      <c r="BZ19" s="57" t="n"/>
      <c r="CA19" s="57" t="n"/>
      <c r="CB19" s="58" t="n"/>
      <c r="CC19" s="59" t="n"/>
      <c r="CF19" s="60" t="n"/>
      <c r="CG19" s="60" t="n"/>
    </row>
    <row r="20">
      <c r="A20" s="24" t="n"/>
      <c r="B20" s="24" t="n"/>
      <c r="C20" s="24" t="n"/>
      <c r="D20" s="24" t="n"/>
      <c r="E20" s="55" t="n"/>
      <c r="F20" s="26" t="n"/>
      <c r="G20" s="26" t="n"/>
      <c r="H20" s="47" t="n"/>
      <c r="I20" s="26" t="n"/>
      <c r="J20" s="26" t="n"/>
      <c r="K20" s="47" t="n"/>
      <c r="L20" s="47" t="n"/>
      <c r="M20" s="47" t="n"/>
      <c r="N20" s="47" t="n"/>
      <c r="O20" s="47" t="n"/>
      <c r="P20" s="27" t="n"/>
      <c r="Q20" s="27" t="n"/>
      <c r="R20" s="27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47" t="n"/>
      <c r="AU20" s="47" t="n"/>
      <c r="AV20" s="47" t="n"/>
      <c r="AW20" s="56" t="n"/>
      <c r="AX20" s="56" t="n"/>
      <c r="AY20" s="56" t="n"/>
      <c r="AZ20" s="47" t="n"/>
      <c r="BA20" s="47" t="n"/>
      <c r="BB20" s="47" t="n"/>
      <c r="BC20" s="27" t="n"/>
      <c r="BD20" s="27" t="n"/>
      <c r="BE20" s="27" t="n"/>
      <c r="BF20" s="47" t="n"/>
      <c r="BG20" s="47" t="n"/>
      <c r="BH20" s="47" t="n"/>
      <c r="BI20" s="47" t="n"/>
      <c r="BJ20" s="47" t="n"/>
      <c r="BK20" s="47" t="n"/>
      <c r="BL20" s="47" t="n"/>
      <c r="BM20" s="47" t="n"/>
      <c r="BN20" s="47" t="n"/>
      <c r="BO20" s="47" t="n"/>
      <c r="BP20" s="47" t="n"/>
      <c r="BQ20" s="47" t="n"/>
      <c r="BR20" s="47" t="n"/>
      <c r="BS20" s="47" t="n"/>
      <c r="BT20" s="47" t="n"/>
      <c r="BU20" s="47" t="n"/>
      <c r="BV20" s="47" t="n"/>
      <c r="BW20" s="47" t="n"/>
      <c r="BY20" s="57" t="n"/>
      <c r="BZ20" s="57" t="n"/>
      <c r="CA20" s="57" t="n"/>
      <c r="CB20" s="58" t="n"/>
      <c r="CC20" s="59" t="n"/>
      <c r="CF20" s="60" t="n"/>
      <c r="CG20" s="60" t="n"/>
    </row>
    <row r="21">
      <c r="A21" s="24" t="n"/>
      <c r="B21" s="24" t="n"/>
      <c r="C21" s="24" t="n"/>
      <c r="D21" s="24" t="n"/>
      <c r="E21" s="55" t="n"/>
      <c r="F21" s="26" t="n"/>
      <c r="G21" s="26" t="n"/>
      <c r="H21" s="47" t="n"/>
      <c r="I21" s="26" t="n"/>
      <c r="J21" s="26" t="n"/>
      <c r="K21" s="47" t="n"/>
      <c r="L21" s="47" t="n"/>
      <c r="M21" s="47" t="n"/>
      <c r="N21" s="47" t="n"/>
      <c r="O21" s="47" t="n"/>
      <c r="P21" s="27" t="n"/>
      <c r="Q21" s="27" t="n"/>
      <c r="R21" s="27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47" t="n"/>
      <c r="AU21" s="47" t="n"/>
      <c r="AV21" s="47" t="n"/>
      <c r="AW21" s="56" t="n"/>
      <c r="AX21" s="56" t="n"/>
      <c r="AY21" s="56" t="n"/>
      <c r="AZ21" s="47" t="n"/>
      <c r="BA21" s="47" t="n"/>
      <c r="BB21" s="47" t="n"/>
      <c r="BC21" s="27" t="n"/>
      <c r="BD21" s="27" t="n"/>
      <c r="BE21" s="27" t="n"/>
      <c r="BF21" s="47" t="n"/>
      <c r="BG21" s="47" t="n"/>
      <c r="BH21" s="47" t="n"/>
      <c r="BI21" s="47" t="n"/>
      <c r="BJ21" s="47" t="n"/>
      <c r="BK21" s="47" t="n"/>
      <c r="BL21" s="47" t="n"/>
      <c r="BM21" s="47" t="n"/>
      <c r="BN21" s="47" t="n"/>
      <c r="BO21" s="47" t="n"/>
      <c r="BP21" s="47" t="n"/>
      <c r="BQ21" s="47" t="n"/>
      <c r="BR21" s="47" t="n"/>
      <c r="BS21" s="47" t="n"/>
      <c r="BT21" s="47" t="n"/>
      <c r="BU21" s="47" t="n"/>
      <c r="BV21" s="47" t="n"/>
      <c r="BW21" s="47" t="n"/>
      <c r="BY21" s="57" t="n"/>
      <c r="BZ21" s="57" t="n"/>
      <c r="CA21" s="57" t="n"/>
      <c r="CB21" s="58" t="n"/>
      <c r="CC21" s="59" t="n"/>
      <c r="CF21" s="60" t="n"/>
      <c r="CG21" s="60" t="n"/>
    </row>
    <row r="22">
      <c r="A22" s="24" t="n"/>
      <c r="B22" s="24" t="n"/>
      <c r="C22" s="24" t="n"/>
      <c r="D22" s="24" t="n"/>
      <c r="E22" s="55" t="n"/>
      <c r="F22" s="26" t="n"/>
      <c r="G22" s="26" t="n"/>
      <c r="H22" s="47" t="n"/>
      <c r="I22" s="26" t="n"/>
      <c r="J22" s="26" t="n"/>
      <c r="K22" s="47" t="n"/>
      <c r="L22" s="47" t="n"/>
      <c r="M22" s="47" t="n"/>
      <c r="N22" s="47" t="n"/>
      <c r="O22" s="47" t="n"/>
      <c r="P22" s="27" t="n"/>
      <c r="Q22" s="27" t="n"/>
      <c r="R22" s="27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47" t="n"/>
      <c r="AU22" s="47" t="n"/>
      <c r="AV22" s="47" t="n"/>
      <c r="AW22" s="56" t="n"/>
      <c r="AX22" s="56" t="n"/>
      <c r="AY22" s="56" t="n"/>
      <c r="AZ22" s="47" t="n"/>
      <c r="BA22" s="47" t="n"/>
      <c r="BB22" s="47" t="n"/>
      <c r="BC22" s="27" t="n"/>
      <c r="BD22" s="27" t="n"/>
      <c r="BE22" s="27" t="n"/>
      <c r="BF22" s="47" t="n"/>
      <c r="BG22" s="47" t="n"/>
      <c r="BH22" s="47" t="n"/>
      <c r="BI22" s="47" t="n"/>
      <c r="BJ22" s="47" t="n"/>
      <c r="BK22" s="47" t="n"/>
      <c r="BL22" s="47" t="n"/>
      <c r="BM22" s="47" t="n"/>
      <c r="BN22" s="47" t="n"/>
      <c r="BO22" s="47" t="n"/>
      <c r="BP22" s="47" t="n"/>
      <c r="BQ22" s="47" t="n"/>
      <c r="BR22" s="47" t="n"/>
      <c r="BS22" s="47" t="n"/>
      <c r="BT22" s="47" t="n"/>
      <c r="BU22" s="47" t="n"/>
      <c r="BV22" s="47" t="n"/>
      <c r="BW22" s="47" t="n"/>
      <c r="BY22" s="57" t="n"/>
      <c r="BZ22" s="57" t="n"/>
      <c r="CA22" s="57" t="n"/>
      <c r="CB22" s="58" t="n"/>
      <c r="CC22" s="59" t="n"/>
      <c r="CF22" s="60" t="n"/>
      <c r="CG22" s="60" t="n"/>
    </row>
    <row r="23">
      <c r="A23" s="24" t="n"/>
      <c r="B23" s="24" t="n"/>
      <c r="C23" s="24" t="n"/>
      <c r="D23" s="24" t="n"/>
      <c r="E23" s="55" t="n"/>
      <c r="F23" s="26" t="n"/>
      <c r="G23" s="26" t="n"/>
      <c r="H23" s="47" t="n"/>
      <c r="I23" s="26" t="n"/>
      <c r="J23" s="26" t="n"/>
      <c r="K23" s="47" t="n"/>
      <c r="L23" s="47" t="n"/>
      <c r="M23" s="47" t="n"/>
      <c r="N23" s="47" t="n"/>
      <c r="O23" s="47" t="n"/>
      <c r="P23" s="27" t="n"/>
      <c r="Q23" s="27" t="n"/>
      <c r="R23" s="27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47" t="n"/>
      <c r="AU23" s="47" t="n"/>
      <c r="AV23" s="47" t="n"/>
      <c r="AW23" s="56" t="n"/>
      <c r="AX23" s="56" t="n"/>
      <c r="AY23" s="56" t="n"/>
      <c r="AZ23" s="47" t="n"/>
      <c r="BA23" s="47" t="n"/>
      <c r="BB23" s="47" t="n"/>
      <c r="BC23" s="27" t="n"/>
      <c r="BD23" s="27" t="n"/>
      <c r="BE23" s="27" t="n"/>
      <c r="BF23" s="47" t="n"/>
      <c r="BG23" s="47" t="n"/>
      <c r="BH23" s="47" t="n"/>
      <c r="BI23" s="47" t="n"/>
      <c r="BJ23" s="47" t="n"/>
      <c r="BK23" s="47" t="n"/>
      <c r="BL23" s="47" t="n"/>
      <c r="BM23" s="47" t="n"/>
      <c r="BN23" s="47" t="n"/>
      <c r="BO23" s="47" t="n"/>
      <c r="BP23" s="47" t="n"/>
      <c r="BQ23" s="47" t="n"/>
      <c r="BR23" s="47" t="n"/>
      <c r="BS23" s="47" t="n"/>
      <c r="BT23" s="47" t="n"/>
      <c r="BU23" s="47" t="n"/>
      <c r="BV23" s="47" t="n"/>
      <c r="BW23" s="47" t="n"/>
      <c r="BY23" s="57" t="n"/>
      <c r="BZ23" s="57" t="n"/>
      <c r="CA23" s="57" t="n"/>
      <c r="CB23" s="58" t="n"/>
      <c r="CC23" s="59" t="n"/>
      <c r="CF23" s="60" t="n"/>
      <c r="CG23" s="60" t="n"/>
    </row>
    <row r="24">
      <c r="A24" s="24" t="n"/>
      <c r="B24" s="24" t="n"/>
      <c r="C24" s="24" t="n"/>
      <c r="D24" s="24" t="n"/>
      <c r="E24" s="55" t="n"/>
      <c r="F24" s="26" t="n"/>
      <c r="G24" s="26" t="n"/>
      <c r="H24" s="47" t="n"/>
      <c r="I24" s="26" t="n"/>
      <c r="J24" s="26" t="n"/>
      <c r="K24" s="47" t="n"/>
      <c r="L24" s="47" t="n"/>
      <c r="M24" s="47" t="n"/>
      <c r="N24" s="47" t="n"/>
      <c r="O24" s="47" t="n"/>
      <c r="P24" s="27" t="n"/>
      <c r="Q24" s="27" t="n"/>
      <c r="R24" s="27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47" t="n"/>
      <c r="AU24" s="47" t="n"/>
      <c r="AV24" s="47" t="n"/>
      <c r="AW24" s="56" t="n"/>
      <c r="AX24" s="56" t="n"/>
      <c r="AY24" s="56" t="n"/>
      <c r="AZ24" s="47" t="n"/>
      <c r="BA24" s="47" t="n"/>
      <c r="BB24" s="47" t="n"/>
      <c r="BC24" s="27" t="n"/>
      <c r="BD24" s="27" t="n"/>
      <c r="BE24" s="27" t="n"/>
      <c r="BF24" s="47" t="n"/>
      <c r="BG24" s="47" t="n"/>
      <c r="BH24" s="47" t="n"/>
      <c r="BI24" s="47" t="n"/>
      <c r="BJ24" s="47" t="n"/>
      <c r="BK24" s="47" t="n"/>
      <c r="BL24" s="47" t="n"/>
      <c r="BM24" s="47" t="n"/>
      <c r="BN24" s="47" t="n"/>
      <c r="BO24" s="47" t="n"/>
      <c r="BP24" s="47" t="n"/>
      <c r="BQ24" s="47" t="n"/>
      <c r="BR24" s="47" t="n"/>
      <c r="BS24" s="47" t="n"/>
      <c r="BT24" s="47" t="n"/>
      <c r="BU24" s="47" t="n"/>
      <c r="BV24" s="47" t="n"/>
      <c r="BW24" s="47" t="n"/>
      <c r="BY24" s="57" t="n"/>
      <c r="BZ24" s="57" t="n"/>
      <c r="CA24" s="57" t="n"/>
      <c r="CB24" s="58" t="n"/>
      <c r="CC24" s="59" t="n"/>
      <c r="CF24" s="60" t="n"/>
      <c r="CG24" s="60" t="n"/>
    </row>
    <row r="25">
      <c r="A25" s="24" t="n"/>
      <c r="B25" s="24" t="n"/>
      <c r="C25" s="24" t="n"/>
      <c r="D25" s="24" t="n"/>
      <c r="E25" s="55" t="n"/>
      <c r="F25" s="26" t="n"/>
      <c r="G25" s="26" t="n"/>
      <c r="H25" s="47" t="n"/>
      <c r="I25" s="26" t="n"/>
      <c r="J25" s="26" t="n"/>
      <c r="K25" s="47" t="n"/>
      <c r="L25" s="47" t="n"/>
      <c r="M25" s="47" t="n"/>
      <c r="N25" s="47" t="n"/>
      <c r="O25" s="47" t="n"/>
      <c r="P25" s="27" t="n"/>
      <c r="Q25" s="27" t="n"/>
      <c r="R25" s="27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47" t="n"/>
      <c r="AU25" s="47" t="n"/>
      <c r="AV25" s="47" t="n"/>
      <c r="AW25" s="56" t="n"/>
      <c r="AX25" s="56" t="n"/>
      <c r="AY25" s="56" t="n"/>
      <c r="AZ25" s="47" t="n"/>
      <c r="BA25" s="47" t="n"/>
      <c r="BB25" s="47" t="n"/>
      <c r="BC25" s="27" t="n"/>
      <c r="BD25" s="27" t="n"/>
      <c r="BE25" s="27" t="n"/>
      <c r="BF25" s="47" t="n"/>
      <c r="BG25" s="47" t="n"/>
      <c r="BH25" s="47" t="n"/>
      <c r="BI25" s="47" t="n"/>
      <c r="BJ25" s="47" t="n"/>
      <c r="BK25" s="47" t="n"/>
      <c r="BL25" s="47" t="n"/>
      <c r="BM25" s="47" t="n"/>
      <c r="BN25" s="47" t="n"/>
      <c r="BO25" s="47" t="n"/>
      <c r="BP25" s="47" t="n"/>
      <c r="BQ25" s="47" t="n"/>
      <c r="BR25" s="47" t="n"/>
      <c r="BS25" s="47" t="n"/>
      <c r="BT25" s="47" t="n"/>
      <c r="BU25" s="47" t="n"/>
      <c r="BV25" s="47" t="n"/>
      <c r="BW25" s="47" t="n"/>
      <c r="BY25" s="57" t="n"/>
      <c r="BZ25" s="57" t="n"/>
      <c r="CA25" s="57" t="n"/>
      <c r="CB25" s="58" t="n"/>
      <c r="CC25" s="59" t="n"/>
      <c r="CF25" s="60" t="n"/>
      <c r="CG25" s="60" t="n"/>
    </row>
    <row r="26">
      <c r="A26" s="24" t="n"/>
      <c r="B26" s="24" t="n"/>
      <c r="C26" s="24" t="n"/>
      <c r="D26" s="24" t="n"/>
      <c r="E26" s="55" t="n"/>
      <c r="F26" s="26" t="n"/>
      <c r="G26" s="26" t="n"/>
      <c r="H26" s="47" t="n"/>
      <c r="I26" s="26" t="n"/>
      <c r="J26" s="26" t="n"/>
      <c r="K26" s="47" t="n"/>
      <c r="L26" s="47" t="n"/>
      <c r="M26" s="47" t="n"/>
      <c r="N26" s="47" t="n"/>
      <c r="O26" s="47" t="n"/>
      <c r="P26" s="27" t="n"/>
      <c r="Q26" s="27" t="n"/>
      <c r="R26" s="27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47" t="n"/>
      <c r="AU26" s="47" t="n"/>
      <c r="AV26" s="47" t="n"/>
      <c r="AW26" s="56" t="n"/>
      <c r="AX26" s="56" t="n"/>
      <c r="AY26" s="56" t="n"/>
      <c r="AZ26" s="47" t="n"/>
      <c r="BA26" s="47" t="n"/>
      <c r="BB26" s="47" t="n"/>
      <c r="BC26" s="27" t="n"/>
      <c r="BD26" s="27" t="n"/>
      <c r="BE26" s="2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Y26" s="57" t="n"/>
      <c r="BZ26" s="57" t="n"/>
      <c r="CA26" s="57" t="n"/>
      <c r="CB26" s="58" t="n"/>
      <c r="CC26" s="59" t="n"/>
      <c r="CF26" s="60" t="n"/>
      <c r="CG26" s="60" t="n"/>
    </row>
    <row r="27">
      <c r="A27" s="24" t="n"/>
      <c r="B27" s="24" t="n"/>
      <c r="C27" s="24" t="n"/>
      <c r="D27" s="24" t="n"/>
      <c r="E27" s="55" t="n"/>
      <c r="F27" s="26" t="n"/>
      <c r="G27" s="26" t="n"/>
      <c r="H27" s="47" t="n"/>
      <c r="I27" s="26" t="n"/>
      <c r="J27" s="26" t="n"/>
      <c r="K27" s="47" t="n"/>
      <c r="L27" s="47" t="n"/>
      <c r="M27" s="47" t="n"/>
      <c r="N27" s="47" t="n"/>
      <c r="O27" s="47" t="n"/>
      <c r="P27" s="27" t="n"/>
      <c r="Q27" s="27" t="n"/>
      <c r="R27" s="27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47" t="n"/>
      <c r="AU27" s="47" t="n"/>
      <c r="AV27" s="47" t="n"/>
      <c r="AW27" s="56" t="n"/>
      <c r="AX27" s="56" t="n"/>
      <c r="AY27" s="56" t="n"/>
      <c r="AZ27" s="47" t="n"/>
      <c r="BA27" s="47" t="n"/>
      <c r="BB27" s="47" t="n"/>
      <c r="BC27" s="27" t="n"/>
      <c r="BD27" s="27" t="n"/>
      <c r="BE27" s="27" t="n"/>
      <c r="BF27" s="47" t="n"/>
      <c r="BG27" s="47" t="n"/>
      <c r="BH27" s="47" t="n"/>
      <c r="BI27" s="47" t="n"/>
      <c r="BJ27" s="47" t="n"/>
      <c r="BK27" s="47" t="n"/>
      <c r="BL27" s="47" t="n"/>
      <c r="BM27" s="47" t="n"/>
      <c r="BN27" s="47" t="n"/>
      <c r="BO27" s="47" t="n"/>
      <c r="BP27" s="47" t="n"/>
      <c r="BQ27" s="47" t="n"/>
      <c r="BR27" s="47" t="n"/>
      <c r="BS27" s="47" t="n"/>
      <c r="BT27" s="47" t="n"/>
      <c r="BU27" s="47" t="n"/>
      <c r="BV27" s="47" t="n"/>
      <c r="BW27" s="47" t="n"/>
      <c r="BY27" s="57" t="n"/>
      <c r="BZ27" s="57" t="n"/>
      <c r="CA27" s="57" t="n"/>
      <c r="CB27" s="58" t="n"/>
      <c r="CC27" s="59" t="n"/>
      <c r="CF27" s="60" t="n"/>
      <c r="CG27" s="60" t="n"/>
    </row>
    <row r="28">
      <c r="A28" s="24" t="n"/>
      <c r="B28" s="24" t="n"/>
      <c r="C28" s="24" t="n"/>
      <c r="D28" s="24" t="n"/>
      <c r="E28" s="55" t="n"/>
      <c r="F28" s="26" t="n"/>
      <c r="G28" s="26" t="n"/>
      <c r="H28" s="47" t="n"/>
      <c r="I28" s="26" t="n"/>
      <c r="J28" s="26" t="n"/>
      <c r="K28" s="47" t="n"/>
      <c r="L28" s="47" t="n"/>
      <c r="M28" s="47" t="n"/>
      <c r="N28" s="47" t="n"/>
      <c r="O28" s="47" t="n"/>
      <c r="P28" s="27" t="n"/>
      <c r="Q28" s="27" t="n"/>
      <c r="R28" s="27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47" t="n"/>
      <c r="AU28" s="47" t="n"/>
      <c r="AV28" s="47" t="n"/>
      <c r="AW28" s="56" t="n"/>
      <c r="AX28" s="56" t="n"/>
      <c r="AY28" s="56" t="n"/>
      <c r="AZ28" s="47" t="n"/>
      <c r="BA28" s="47" t="n"/>
      <c r="BB28" s="47" t="n"/>
      <c r="BC28" s="27" t="n"/>
      <c r="BD28" s="27" t="n"/>
      <c r="BE28" s="27" t="n"/>
      <c r="BF28" s="47" t="n"/>
      <c r="BG28" s="47" t="n"/>
      <c r="BH28" s="47" t="n"/>
      <c r="BI28" s="47" t="n"/>
      <c r="BJ28" s="47" t="n"/>
      <c r="BK28" s="47" t="n"/>
      <c r="BL28" s="47" t="n"/>
      <c r="BM28" s="47" t="n"/>
      <c r="BN28" s="47" t="n"/>
      <c r="BO28" s="47" t="n"/>
      <c r="BP28" s="47" t="n"/>
      <c r="BQ28" s="47" t="n"/>
      <c r="BR28" s="47" t="n"/>
      <c r="BS28" s="47" t="n"/>
      <c r="BT28" s="47" t="n"/>
      <c r="BU28" s="47" t="n"/>
      <c r="BV28" s="47" t="n"/>
      <c r="BW28" s="47" t="n"/>
      <c r="BY28" s="57" t="n"/>
      <c r="BZ28" s="57" t="n"/>
      <c r="CA28" s="57" t="n"/>
      <c r="CB28" s="58" t="n"/>
      <c r="CC28" s="59" t="n"/>
      <c r="CF28" s="60" t="n"/>
      <c r="CG28" s="60" t="n"/>
    </row>
    <row r="29">
      <c r="A29" s="24" t="n"/>
      <c r="B29" s="24" t="n"/>
      <c r="C29" s="24" t="n"/>
      <c r="D29" s="24" t="n"/>
      <c r="E29" s="55" t="n"/>
      <c r="F29" s="26" t="n"/>
      <c r="G29" s="26" t="n"/>
      <c r="H29" s="47" t="n"/>
      <c r="I29" s="26" t="n"/>
      <c r="J29" s="26" t="n"/>
      <c r="K29" s="47" t="n"/>
      <c r="L29" s="47" t="n"/>
      <c r="M29" s="47" t="n"/>
      <c r="N29" s="47" t="n"/>
      <c r="O29" s="47" t="n"/>
      <c r="P29" s="27" t="n"/>
      <c r="Q29" s="27" t="n"/>
      <c r="R29" s="27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47" t="n"/>
      <c r="AU29" s="47" t="n"/>
      <c r="AV29" s="47" t="n"/>
      <c r="AW29" s="56" t="n"/>
      <c r="AX29" s="56" t="n"/>
      <c r="AY29" s="56" t="n"/>
      <c r="AZ29" s="47" t="n"/>
      <c r="BA29" s="47" t="n"/>
      <c r="BB29" s="47" t="n"/>
      <c r="BC29" s="27" t="n"/>
      <c r="BD29" s="27" t="n"/>
      <c r="BE29" s="27" t="n"/>
      <c r="BF29" s="47" t="n"/>
      <c r="BG29" s="47" t="n"/>
      <c r="BH29" s="47" t="n"/>
      <c r="BI29" s="47" t="n"/>
      <c r="BJ29" s="47" t="n"/>
      <c r="BK29" s="47" t="n"/>
      <c r="BL29" s="47" t="n"/>
      <c r="BM29" s="47" t="n"/>
      <c r="BN29" s="47" t="n"/>
      <c r="BO29" s="47" t="n"/>
      <c r="BP29" s="47" t="n"/>
      <c r="BQ29" s="47" t="n"/>
      <c r="BR29" s="47" t="n"/>
      <c r="BS29" s="47" t="n"/>
      <c r="BT29" s="47" t="n"/>
      <c r="BU29" s="47" t="n"/>
      <c r="BV29" s="47" t="n"/>
      <c r="BW29" s="47" t="n"/>
      <c r="BY29" s="57" t="n"/>
      <c r="BZ29" s="57" t="n"/>
      <c r="CA29" s="57" t="n"/>
      <c r="CB29" s="58" t="n"/>
      <c r="CC29" s="59" t="n"/>
      <c r="CF29" s="60" t="n"/>
      <c r="CG29" s="60" t="n"/>
    </row>
    <row r="30">
      <c r="A30" s="24" t="n"/>
      <c r="B30" s="24" t="n"/>
      <c r="C30" s="24" t="n"/>
      <c r="D30" s="24" t="n"/>
      <c r="E30" s="55" t="n"/>
      <c r="F30" s="26" t="n"/>
      <c r="G30" s="26" t="n"/>
      <c r="H30" s="47" t="n"/>
      <c r="I30" s="26" t="n"/>
      <c r="J30" s="26" t="n"/>
      <c r="K30" s="47" t="n"/>
      <c r="L30" s="47" t="n"/>
      <c r="M30" s="47" t="n"/>
      <c r="N30" s="47" t="n"/>
      <c r="O30" s="47" t="n"/>
      <c r="P30" s="27" t="n"/>
      <c r="Q30" s="27" t="n"/>
      <c r="R30" s="27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47" t="n"/>
      <c r="AU30" s="47" t="n"/>
      <c r="AV30" s="47" t="n"/>
      <c r="AW30" s="56" t="n"/>
      <c r="AX30" s="56" t="n"/>
      <c r="AY30" s="56" t="n"/>
      <c r="AZ30" s="47" t="n"/>
      <c r="BA30" s="47" t="n"/>
      <c r="BB30" s="47" t="n"/>
      <c r="BC30" s="27" t="n"/>
      <c r="BD30" s="27" t="n"/>
      <c r="BE30" s="27" t="n"/>
      <c r="BF30" s="47" t="n"/>
      <c r="BG30" s="47" t="n"/>
      <c r="BH30" s="47" t="n"/>
      <c r="BI30" s="47" t="n"/>
      <c r="BJ30" s="47" t="n"/>
      <c r="BK30" s="47" t="n"/>
      <c r="BL30" s="47" t="n"/>
      <c r="BM30" s="47" t="n"/>
      <c r="BN30" s="47" t="n"/>
      <c r="BO30" s="47" t="n"/>
      <c r="BP30" s="47" t="n"/>
      <c r="BQ30" s="47" t="n"/>
      <c r="BR30" s="47" t="n"/>
      <c r="BS30" s="47" t="n"/>
      <c r="BT30" s="47" t="n"/>
      <c r="BU30" s="47" t="n"/>
      <c r="BV30" s="47" t="n"/>
      <c r="BW30" s="47" t="n"/>
      <c r="BY30" s="57" t="n"/>
      <c r="BZ30" s="57" t="n"/>
      <c r="CA30" s="57" t="n"/>
      <c r="CB30" s="58" t="n"/>
      <c r="CC30" s="59" t="n"/>
      <c r="CF30" s="60" t="n"/>
      <c r="CG30" s="60" t="n"/>
    </row>
    <row r="31">
      <c r="A31" s="24" t="n"/>
      <c r="B31" s="24" t="n"/>
      <c r="C31" s="24" t="n"/>
      <c r="D31" s="24" t="n"/>
      <c r="E31" s="55" t="n"/>
      <c r="F31" s="26" t="n"/>
      <c r="G31" s="26" t="n"/>
      <c r="H31" s="47" t="n"/>
      <c r="I31" s="26" t="n"/>
      <c r="J31" s="26" t="n"/>
      <c r="K31" s="47" t="n"/>
      <c r="L31" s="47" t="n"/>
      <c r="M31" s="47" t="n"/>
      <c r="N31" s="47" t="n"/>
      <c r="O31" s="47" t="n"/>
      <c r="P31" s="27" t="n"/>
      <c r="Q31" s="27" t="n"/>
      <c r="R31" s="27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47" t="n"/>
      <c r="AU31" s="47" t="n"/>
      <c r="AV31" s="47" t="n"/>
      <c r="AW31" s="56" t="n"/>
      <c r="AX31" s="56" t="n"/>
      <c r="AY31" s="56" t="n"/>
      <c r="AZ31" s="47" t="n"/>
      <c r="BA31" s="47" t="n"/>
      <c r="BB31" s="47" t="n"/>
      <c r="BC31" s="27" t="n"/>
      <c r="BD31" s="27" t="n"/>
      <c r="BE31" s="27" t="n"/>
      <c r="BF31" s="47" t="n"/>
      <c r="BG31" s="47" t="n"/>
      <c r="BH31" s="47" t="n"/>
      <c r="BI31" s="47" t="n"/>
      <c r="BJ31" s="47" t="n"/>
      <c r="BK31" s="47" t="n"/>
      <c r="BL31" s="47" t="n"/>
      <c r="BM31" s="47" t="n"/>
      <c r="BN31" s="47" t="n"/>
      <c r="BO31" s="47" t="n"/>
      <c r="BP31" s="47" t="n"/>
      <c r="BQ31" s="47" t="n"/>
      <c r="BR31" s="47" t="n"/>
      <c r="BS31" s="47" t="n"/>
      <c r="BT31" s="47" t="n"/>
      <c r="BU31" s="47" t="n"/>
      <c r="BV31" s="47" t="n"/>
      <c r="BW31" s="47" t="n"/>
      <c r="BY31" s="57" t="n"/>
      <c r="BZ31" s="57" t="n"/>
      <c r="CA31" s="57" t="n"/>
      <c r="CB31" s="58" t="n"/>
      <c r="CC31" s="59" t="n"/>
      <c r="CF31" s="60" t="n"/>
      <c r="CG31" s="60" t="n"/>
    </row>
    <row r="32">
      <c r="A32" s="24" t="n"/>
      <c r="B32" s="24" t="n"/>
      <c r="C32" s="24" t="n"/>
      <c r="D32" s="24" t="n"/>
      <c r="E32" s="55" t="n"/>
      <c r="F32" s="26" t="n"/>
      <c r="G32" s="26" t="n"/>
      <c r="H32" s="47" t="n"/>
      <c r="I32" s="26" t="n"/>
      <c r="J32" s="26" t="n"/>
      <c r="K32" s="47" t="n"/>
      <c r="L32" s="47" t="n"/>
      <c r="M32" s="47" t="n"/>
      <c r="N32" s="47" t="n"/>
      <c r="O32" s="47" t="n"/>
      <c r="P32" s="27" t="n"/>
      <c r="Q32" s="27" t="n"/>
      <c r="R32" s="27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47" t="n"/>
      <c r="AU32" s="47" t="n"/>
      <c r="AV32" s="47" t="n"/>
      <c r="AW32" s="56" t="n"/>
      <c r="AX32" s="56" t="n"/>
      <c r="AY32" s="56" t="n"/>
      <c r="AZ32" s="47" t="n"/>
      <c r="BA32" s="47" t="n"/>
      <c r="BB32" s="47" t="n"/>
      <c r="BC32" s="27" t="n"/>
      <c r="BD32" s="27" t="n"/>
      <c r="BE32" s="27" t="n"/>
      <c r="BF32" s="47" t="n"/>
      <c r="BG32" s="47" t="n"/>
      <c r="BH32" s="47" t="n"/>
      <c r="BI32" s="47" t="n"/>
      <c r="BJ32" s="47" t="n"/>
      <c r="BK32" s="47" t="n"/>
      <c r="BL32" s="47" t="n"/>
      <c r="BM32" s="47" t="n"/>
      <c r="BN32" s="47" t="n"/>
      <c r="BO32" s="47" t="n"/>
      <c r="BP32" s="47" t="n"/>
      <c r="BQ32" s="47" t="n"/>
      <c r="BR32" s="47" t="n"/>
      <c r="BS32" s="47" t="n"/>
      <c r="BT32" s="47" t="n"/>
      <c r="BU32" s="47" t="n"/>
      <c r="BV32" s="47" t="n"/>
      <c r="BW32" s="47" t="n"/>
      <c r="BY32" s="57" t="n"/>
      <c r="BZ32" s="57" t="n"/>
      <c r="CA32" s="57" t="n"/>
      <c r="CB32" s="58" t="n"/>
      <c r="CC32" s="59" t="n"/>
      <c r="CF32" s="60" t="n"/>
      <c r="CG32" s="60" t="n"/>
    </row>
    <row r="33">
      <c r="A33" s="24" t="n"/>
      <c r="B33" s="24" t="n"/>
      <c r="C33" s="24" t="n"/>
      <c r="D33" s="24" t="n"/>
      <c r="E33" s="55" t="n"/>
      <c r="F33" s="26" t="n"/>
      <c r="G33" s="26" t="n"/>
      <c r="H33" s="47" t="n"/>
      <c r="I33" s="26" t="n"/>
      <c r="J33" s="26" t="n"/>
      <c r="K33" s="47" t="n"/>
      <c r="L33" s="47" t="n"/>
      <c r="M33" s="47" t="n"/>
      <c r="N33" s="47" t="n"/>
      <c r="O33" s="47" t="n"/>
      <c r="P33" s="27" t="n"/>
      <c r="Q33" s="27" t="n"/>
      <c r="R33" s="27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47" t="n"/>
      <c r="AU33" s="47" t="n"/>
      <c r="AV33" s="47" t="n"/>
      <c r="AW33" s="56" t="n"/>
      <c r="AX33" s="56" t="n"/>
      <c r="AY33" s="56" t="n"/>
      <c r="AZ33" s="47" t="n"/>
      <c r="BA33" s="47" t="n"/>
      <c r="BB33" s="47" t="n"/>
      <c r="BC33" s="27" t="n"/>
      <c r="BD33" s="27" t="n"/>
      <c r="BE33" s="27" t="n"/>
      <c r="BF33" s="47" t="n"/>
      <c r="BG33" s="47" t="n"/>
      <c r="BH33" s="47" t="n"/>
      <c r="BI33" s="47" t="n"/>
      <c r="BJ33" s="47" t="n"/>
      <c r="BK33" s="47" t="n"/>
      <c r="BL33" s="47" t="n"/>
      <c r="BM33" s="47" t="n"/>
      <c r="BN33" s="47" t="n"/>
      <c r="BO33" s="47" t="n"/>
      <c r="BP33" s="47" t="n"/>
      <c r="BQ33" s="47" t="n"/>
      <c r="BR33" s="47" t="n"/>
      <c r="BS33" s="47" t="n"/>
      <c r="BT33" s="47" t="n"/>
      <c r="BU33" s="47" t="n"/>
      <c r="BV33" s="47" t="n"/>
      <c r="BW33" s="47" t="n"/>
      <c r="BY33" s="57" t="n"/>
      <c r="BZ33" s="57" t="n"/>
      <c r="CA33" s="57" t="n"/>
      <c r="CB33" s="58" t="n"/>
      <c r="CC33" s="59" t="n"/>
      <c r="CF33" s="60" t="n"/>
      <c r="CG33" s="60" t="n"/>
    </row>
    <row r="34">
      <c r="A34" s="24" t="n"/>
      <c r="B34" s="24" t="n"/>
      <c r="C34" s="24" t="n"/>
      <c r="D34" s="24" t="n"/>
      <c r="E34" s="55" t="n"/>
      <c r="F34" s="26" t="n"/>
      <c r="G34" s="26" t="n"/>
      <c r="H34" s="47" t="n"/>
      <c r="I34" s="26" t="n"/>
      <c r="J34" s="26" t="n"/>
      <c r="K34" s="47" t="n"/>
      <c r="L34" s="47" t="n"/>
      <c r="M34" s="47" t="n"/>
      <c r="N34" s="47" t="n"/>
      <c r="O34" s="47" t="n"/>
      <c r="P34" s="27" t="n"/>
      <c r="Q34" s="27" t="n"/>
      <c r="R34" s="27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47" t="n"/>
      <c r="AU34" s="47" t="n"/>
      <c r="AV34" s="47" t="n"/>
      <c r="AW34" s="56" t="n"/>
      <c r="AX34" s="56" t="n"/>
      <c r="AY34" s="56" t="n"/>
      <c r="AZ34" s="47" t="n"/>
      <c r="BA34" s="47" t="n"/>
      <c r="BB34" s="47" t="n"/>
      <c r="BC34" s="27" t="n"/>
      <c r="BD34" s="27" t="n"/>
      <c r="BE34" s="27" t="n"/>
      <c r="BF34" s="47" t="n"/>
      <c r="BG34" s="47" t="n"/>
      <c r="BH34" s="47" t="n"/>
      <c r="BI34" s="47" t="n"/>
      <c r="BJ34" s="47" t="n"/>
      <c r="BK34" s="47" t="n"/>
      <c r="BL34" s="47" t="n"/>
      <c r="BM34" s="47" t="n"/>
      <c r="BN34" s="47" t="n"/>
      <c r="BO34" s="47" t="n"/>
      <c r="BP34" s="47" t="n"/>
      <c r="BQ34" s="47" t="n"/>
      <c r="BR34" s="47" t="n"/>
      <c r="BS34" s="47" t="n"/>
      <c r="BT34" s="47" t="n"/>
      <c r="BU34" s="47" t="n"/>
      <c r="BV34" s="47" t="n"/>
      <c r="BW34" s="47" t="n"/>
      <c r="BY34" s="57" t="n"/>
      <c r="BZ34" s="57" t="n"/>
      <c r="CA34" s="57" t="n"/>
      <c r="CB34" s="58" t="n"/>
      <c r="CC34" s="59" t="n"/>
      <c r="CF34" s="60" t="n"/>
      <c r="CG34" s="60" t="n"/>
    </row>
    <row r="35">
      <c r="A35" s="24" t="n"/>
      <c r="B35" s="24" t="n"/>
      <c r="C35" s="24" t="n"/>
      <c r="D35" s="24" t="n"/>
      <c r="E35" s="55" t="n"/>
      <c r="F35" s="26" t="n"/>
      <c r="G35" s="26" t="n"/>
      <c r="H35" s="47" t="n"/>
      <c r="I35" s="26" t="n"/>
      <c r="J35" s="26" t="n"/>
      <c r="K35" s="47" t="n"/>
      <c r="L35" s="47" t="n"/>
      <c r="M35" s="47" t="n"/>
      <c r="N35" s="47" t="n"/>
      <c r="O35" s="47" t="n"/>
      <c r="P35" s="27" t="n"/>
      <c r="Q35" s="27" t="n"/>
      <c r="R35" s="27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47" t="n"/>
      <c r="AU35" s="47" t="n"/>
      <c r="AV35" s="47" t="n"/>
      <c r="AW35" s="56" t="n"/>
      <c r="AX35" s="56" t="n"/>
      <c r="AY35" s="56" t="n"/>
      <c r="AZ35" s="47" t="n"/>
      <c r="BA35" s="47" t="n"/>
      <c r="BB35" s="47" t="n"/>
      <c r="BC35" s="27" t="n"/>
      <c r="BD35" s="27" t="n"/>
      <c r="BE35" s="27" t="n"/>
      <c r="BF35" s="47" t="n"/>
      <c r="BG35" s="47" t="n"/>
      <c r="BH35" s="47" t="n"/>
      <c r="BI35" s="47" t="n"/>
      <c r="BJ35" s="47" t="n"/>
      <c r="BK35" s="47" t="n"/>
      <c r="BL35" s="47" t="n"/>
      <c r="BM35" s="47" t="n"/>
      <c r="BN35" s="47" t="n"/>
      <c r="BO35" s="47" t="n"/>
      <c r="BP35" s="47" t="n"/>
      <c r="BQ35" s="47" t="n"/>
      <c r="BR35" s="47" t="n"/>
      <c r="BS35" s="47" t="n"/>
      <c r="BT35" s="47" t="n"/>
      <c r="BU35" s="47" t="n"/>
      <c r="BV35" s="47" t="n"/>
      <c r="BW35" s="47" t="n"/>
      <c r="BY35" s="57" t="n"/>
      <c r="BZ35" s="57" t="n"/>
      <c r="CA35" s="57" t="n"/>
      <c r="CB35" s="58" t="n"/>
      <c r="CC35" s="59" t="n"/>
      <c r="CF35" s="60" t="n"/>
      <c r="CG35" s="60" t="n"/>
    </row>
  </sheetData>
  <mergeCells count="2">
    <mergeCell ref="A3:L3"/>
    <mergeCell ref="A1:H1"/>
  </mergeCells>
  <dataValidations count="1">
    <dataValidation sqref="B6 B7 B8 B9 B10 B11 B12 B13 B14 B15 B16 B17 B18 B19 B20 B21 B22 B23 B24 B25 B26 B27 B28 B29 B30 B31 B32 B33 B34 B35" showDropDown="0" showInputMessage="0" showErrorMessage="0" allowBlank="1" type="list">
      <formula1>"Once Daily,Twice Daily,Other/Unknown"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Y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34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</cols>
  <sheetData>
    <row r="1" ht="30" customHeight="1">
      <c r="A1" s="1" t="inlineStr">
        <is>
          <t>Participant Metrics and Derived Efficacy Flags</t>
        </is>
      </c>
      <c r="B1" s="3" t="n"/>
      <c r="C1" s="3" t="n"/>
      <c r="D1" s="3" t="n"/>
      <c r="E1" s="3" t="n"/>
      <c r="F1" s="3" t="n"/>
      <c r="G1" s="3" t="n"/>
      <c r="H1" s="4" t="n"/>
    </row>
    <row r="3">
      <c r="A3" s="21" t="inlineStr">
        <is>
          <t>Rows combine pasted Study Export data first, then File_Intake links. Derived columns use editable thresholds from Study_Setup.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5">
      <c r="A5" s="22" t="inlineStr">
        <is>
          <t>Participant ID</t>
        </is>
      </c>
      <c r="B5" s="22" t="inlineStr">
        <is>
          <t>Treatment Arm</t>
        </is>
      </c>
      <c r="C5" s="22" t="inlineStr">
        <is>
          <t>Dose Detail</t>
        </is>
      </c>
      <c r="D5" s="22" t="inlineStr">
        <is>
          <t>Source Workbook</t>
        </is>
      </c>
      <c r="E5" s="22" t="inlineStr">
        <is>
          <t>Metformin Start Date</t>
        </is>
      </c>
      <c r="F5" s="22" t="inlineStr">
        <is>
          <t>Washout Days</t>
        </is>
      </c>
      <c r="G5" s="22" t="inlineStr">
        <is>
          <t>Total Readings</t>
        </is>
      </c>
      <c r="H5" s="22" t="inlineStr">
        <is>
          <t>Total Days</t>
        </is>
      </c>
      <c r="I5" s="22" t="inlineStr">
        <is>
          <t>Off Readings</t>
        </is>
      </c>
      <c r="J5" s="22" t="inlineStr">
        <is>
          <t>On Readings</t>
        </is>
      </c>
      <c r="K5" s="22" t="inlineStr">
        <is>
          <t>Off Days</t>
        </is>
      </c>
      <c r="L5" s="22" t="inlineStr">
        <is>
          <t>On Days</t>
        </is>
      </c>
      <c r="M5" s="22" t="inlineStr">
        <is>
          <t>Avg Glucose Off</t>
        </is>
      </c>
      <c r="N5" s="22" t="inlineStr">
        <is>
          <t>Avg Glucose On</t>
        </is>
      </c>
      <c r="O5" s="22" t="inlineStr">
        <is>
          <t>Avg Glucose Delta</t>
        </is>
      </c>
      <c r="P5" s="22" t="inlineStr">
        <is>
          <t>GMI Off</t>
        </is>
      </c>
      <c r="Q5" s="22" t="inlineStr">
        <is>
          <t>GMI On</t>
        </is>
      </c>
      <c r="R5" s="22" t="inlineStr">
        <is>
          <t>GMI Delta</t>
        </is>
      </c>
      <c r="S5" s="22" t="inlineStr">
        <is>
          <t>TIR Off</t>
        </is>
      </c>
      <c r="T5" s="22" t="inlineStr">
        <is>
          <t>TIR On</t>
        </is>
      </c>
      <c r="U5" s="22" t="inlineStr">
        <is>
          <t>TIR Delta</t>
        </is>
      </c>
      <c r="V5" s="22" t="inlineStr">
        <is>
          <t>TBR L2 Off</t>
        </is>
      </c>
      <c r="W5" s="22" t="inlineStr">
        <is>
          <t>TBR L2 On</t>
        </is>
      </c>
      <c r="X5" s="22" t="inlineStr">
        <is>
          <t>TBR L2 Delta</t>
        </is>
      </c>
      <c r="Y5" s="22" t="inlineStr">
        <is>
          <t>TBR L1 Off</t>
        </is>
      </c>
      <c r="Z5" s="22" t="inlineStr">
        <is>
          <t>TBR L1 On</t>
        </is>
      </c>
      <c r="AA5" s="22" t="inlineStr">
        <is>
          <t>TBR L1 Delta</t>
        </is>
      </c>
      <c r="AB5" s="22" t="inlineStr">
        <is>
          <t>TAR L1 Off</t>
        </is>
      </c>
      <c r="AC5" s="22" t="inlineStr">
        <is>
          <t>TAR L1 On</t>
        </is>
      </c>
      <c r="AD5" s="22" t="inlineStr">
        <is>
          <t>TAR L1 Delta</t>
        </is>
      </c>
      <c r="AE5" s="22" t="inlineStr">
        <is>
          <t>TAR L2 Off</t>
        </is>
      </c>
      <c r="AF5" s="22" t="inlineStr">
        <is>
          <t>TAR L2 On</t>
        </is>
      </c>
      <c r="AG5" s="22" t="inlineStr">
        <is>
          <t>TAR L2 Delta</t>
        </is>
      </c>
      <c r="AH5" s="22" t="inlineStr">
        <is>
          <t>Daily Hyper AUC Off</t>
        </is>
      </c>
      <c r="AI5" s="22" t="inlineStr">
        <is>
          <t>Daily Hyper AUC On</t>
        </is>
      </c>
      <c r="AJ5" s="22" t="inlineStr">
        <is>
          <t>Daily Hyper AUC Delta</t>
        </is>
      </c>
      <c r="AK5" s="22" t="inlineStr">
        <is>
          <t>Daily Hypo AUC Off</t>
        </is>
      </c>
      <c r="AL5" s="22" t="inlineStr">
        <is>
          <t>Daily Hypo AUC On</t>
        </is>
      </c>
      <c r="AM5" s="22" t="inlineStr">
        <is>
          <t>Daily Hypo AUC Delta</t>
        </is>
      </c>
      <c r="AN5" s="22" t="inlineStr">
        <is>
          <t>LBGI Off</t>
        </is>
      </c>
      <c r="AO5" s="22" t="inlineStr">
        <is>
          <t>LBGI On</t>
        </is>
      </c>
      <c r="AP5" s="22" t="inlineStr">
        <is>
          <t>LBGI Delta</t>
        </is>
      </c>
      <c r="AQ5" s="22" t="inlineStr">
        <is>
          <t>HBGI Off</t>
        </is>
      </c>
      <c r="AR5" s="22" t="inlineStr">
        <is>
          <t>HBGI On</t>
        </is>
      </c>
      <c r="AS5" s="22" t="inlineStr">
        <is>
          <t>HBGI Delta</t>
        </is>
      </c>
      <c r="AT5" s="22" t="inlineStr">
        <is>
          <t>SD Off</t>
        </is>
      </c>
      <c r="AU5" s="22" t="inlineStr">
        <is>
          <t>SD On</t>
        </is>
      </c>
      <c r="AV5" s="22" t="inlineStr">
        <is>
          <t>SD Delta</t>
        </is>
      </c>
      <c r="AW5" s="22" t="inlineStr">
        <is>
          <t>CV Off</t>
        </is>
      </c>
      <c r="AX5" s="22" t="inlineStr">
        <is>
          <t>CV On</t>
        </is>
      </c>
      <c r="AY5" s="22" t="inlineStr">
        <is>
          <t>CV Delta</t>
        </is>
      </c>
      <c r="AZ5" s="22" t="inlineStr">
        <is>
          <t>MODD Off</t>
        </is>
      </c>
      <c r="BA5" s="22" t="inlineStr">
        <is>
          <t>MODD On</t>
        </is>
      </c>
      <c r="BB5" s="22" t="inlineStr">
        <is>
          <t>MODD Delta</t>
        </is>
      </c>
      <c r="BC5" s="22" t="inlineStr">
        <is>
          <t>M Value Off</t>
        </is>
      </c>
      <c r="BD5" s="22" t="inlineStr">
        <is>
          <t>M Value On</t>
        </is>
      </c>
      <c r="BE5" s="22" t="inlineStr">
        <is>
          <t>M Value Delta</t>
        </is>
      </c>
      <c r="BF5" s="22" t="inlineStr">
        <is>
          <t>GRI Off</t>
        </is>
      </c>
      <c r="BG5" s="22" t="inlineStr">
        <is>
          <t>GRI On</t>
        </is>
      </c>
      <c r="BH5" s="22" t="inlineStr">
        <is>
          <t>GRI Delta</t>
        </is>
      </c>
      <c r="BI5" s="22" t="inlineStr">
        <is>
          <t>12-3 AM Off</t>
        </is>
      </c>
      <c r="BJ5" s="22" t="inlineStr">
        <is>
          <t>12-3 AM On</t>
        </is>
      </c>
      <c r="BK5" s="22" t="inlineStr">
        <is>
          <t>12-3 AM Delta</t>
        </is>
      </c>
      <c r="BL5" s="22" t="inlineStr">
        <is>
          <t>3-6 AM Off</t>
        </is>
      </c>
      <c r="BM5" s="22" t="inlineStr">
        <is>
          <t>3-6 AM On</t>
        </is>
      </c>
      <c r="BN5" s="22" t="inlineStr">
        <is>
          <t>3-6 AM Delta</t>
        </is>
      </c>
      <c r="BO5" s="22" t="inlineStr">
        <is>
          <t>6-9 AM Off</t>
        </is>
      </c>
      <c r="BP5" s="22" t="inlineStr">
        <is>
          <t>6-9 AM On</t>
        </is>
      </c>
      <c r="BQ5" s="22" t="inlineStr">
        <is>
          <t>6-9 AM Delta</t>
        </is>
      </c>
      <c r="BR5" s="22" t="inlineStr">
        <is>
          <t>Median Off</t>
        </is>
      </c>
      <c r="BS5" s="22" t="inlineStr">
        <is>
          <t>Median On</t>
        </is>
      </c>
      <c r="BT5" s="22" t="inlineStr">
        <is>
          <t>Median Delta</t>
        </is>
      </c>
      <c r="BU5" s="22" t="inlineStr">
        <is>
          <t>P90 Off</t>
        </is>
      </c>
      <c r="BV5" s="22" t="inlineStr">
        <is>
          <t>P90 On</t>
        </is>
      </c>
      <c r="BW5" s="22" t="inlineStr">
        <is>
          <t>P90 Delta</t>
        </is>
      </c>
      <c r="BX5" s="22" t="inlineStr">
        <is>
          <t>Include Flag</t>
        </is>
      </c>
      <c r="BY5" s="22" t="inlineStr">
        <is>
          <t>QC Notes</t>
        </is>
      </c>
      <c r="BZ5" s="22" t="inlineStr">
        <is>
          <t>Mean Glucose Reduction</t>
        </is>
      </c>
      <c r="CA5" s="22" t="inlineStr">
        <is>
          <t>Mean Glucose Reduction %</t>
        </is>
      </c>
      <c r="CB5" s="22" t="inlineStr">
        <is>
          <t>GMI Reduction</t>
        </is>
      </c>
      <c r="CC5" s="22" t="inlineStr">
        <is>
          <t>TIR Gain</t>
        </is>
      </c>
      <c r="CD5" s="22" t="inlineStr">
        <is>
          <t>Hyper AUC Reduction</t>
        </is>
      </c>
      <c r="CE5" s="22" t="inlineStr">
        <is>
          <t>Hyper AUC Reduction %</t>
        </is>
      </c>
      <c r="CF5" s="22" t="inlineStr">
        <is>
          <t>HBGI Reduction</t>
        </is>
      </c>
      <c r="CG5" s="22" t="inlineStr">
        <is>
          <t>Fasting 6-9 AM Reduction</t>
        </is>
      </c>
      <c r="CH5" s="22" t="inlineStr">
        <is>
          <t>Overnight 12-3 AM Reduction</t>
        </is>
      </c>
      <c r="CI5" s="22" t="inlineStr">
        <is>
          <t>Dawn 3-6 AM Reduction</t>
        </is>
      </c>
      <c r="CJ5" s="22" t="inlineStr">
        <is>
          <t>GRI Reduction</t>
        </is>
      </c>
      <c r="CK5" s="22" t="inlineStr">
        <is>
          <t>M Value Reduction</t>
        </is>
      </c>
      <c r="CL5" s="22" t="inlineStr">
        <is>
          <t>No Hypo Harm Flag</t>
        </is>
      </c>
      <c r="CM5" s="22" t="inlineStr">
        <is>
          <t>Responder Flag</t>
        </is>
      </c>
      <c r="CN5" s="22" t="inlineStr">
        <is>
          <t>Composite Efficacy Score</t>
        </is>
      </c>
      <c r="CO5" s="54" t="inlineStr">
        <is>
          <t>Days Logged</t>
        </is>
      </c>
      <c r="CP5" s="54" t="inlineStr">
        <is>
          <t>Avg Weight Off (lb)</t>
        </is>
      </c>
      <c r="CQ5" s="54" t="inlineStr">
        <is>
          <t>Avg Weight On (lb)</t>
        </is>
      </c>
      <c r="CR5" s="54" t="inlineStr">
        <is>
          <t>Weight Change (lb)</t>
        </is>
      </c>
      <c r="CS5" s="54" t="inlineStr">
        <is>
          <t>Weight Change %</t>
        </is>
      </c>
      <c r="CT5" s="54" t="inlineStr">
        <is>
          <t>Avg Dose Time (On)</t>
        </is>
      </c>
      <c r="CU5" s="54" t="inlineStr">
        <is>
          <t>Dose Time SD (min)</t>
        </is>
      </c>
      <c r="CV5" s="54" t="inlineStr">
        <is>
          <t>Dose-Time Days (On)</t>
        </is>
      </c>
      <c r="CW5" s="54" t="inlineStr">
        <is>
          <t>Avg Taste (1-5)</t>
        </is>
      </c>
      <c r="CX5" s="54" t="inlineStr">
        <is>
          <t>Avg Aftertaste (1-5)</t>
        </is>
      </c>
      <c r="CY5" s="54" t="inlineStr">
        <is>
          <t>Taste Days Logged</t>
        </is>
      </c>
    </row>
    <row r="6">
      <c r="A6" s="24">
        <f>IF('Pasted_Exports'!A6&lt;&gt;"",'Pasted_Exports'!A6,'File_Intake'!A6)</f>
        <v/>
      </c>
      <c r="B6" s="24">
        <f>IF('Pasted_Exports'!B6&lt;&gt;"",'Pasted_Exports'!B6,'File_Intake'!B6)</f>
        <v/>
      </c>
      <c r="C6" s="24">
        <f>IF('Pasted_Exports'!C6&lt;&gt;"",'Pasted_Exports'!C6,'File_Intake'!C6)</f>
        <v/>
      </c>
      <c r="D6" s="24">
        <f>IF('Pasted_Exports'!D6&lt;&gt;"",'Pasted_Exports'!D6,'File_Intake'!D6)</f>
        <v/>
      </c>
      <c r="E6" s="55">
        <f>IF('Pasted_Exports'!E6&lt;&gt;"",'Pasted_Exports'!E6,'File_Intake'!E6)</f>
        <v/>
      </c>
      <c r="F6" s="26">
        <f>IF('Pasted_Exports'!F6&lt;&gt;"",'Pasted_Exports'!F6,'File_Intake'!F6)</f>
        <v/>
      </c>
      <c r="G6" s="26">
        <f>IF('Pasted_Exports'!G6&lt;&gt;"",'Pasted_Exports'!G6,'File_Intake'!G6)</f>
        <v/>
      </c>
      <c r="H6" s="47">
        <f>IF('Pasted_Exports'!H6&lt;&gt;"",'Pasted_Exports'!H6,'File_Intake'!H6)</f>
        <v/>
      </c>
      <c r="I6" s="26">
        <f>IF('Pasted_Exports'!I6&lt;&gt;"",'Pasted_Exports'!I6,'File_Intake'!I6)</f>
        <v/>
      </c>
      <c r="J6" s="26">
        <f>IF('Pasted_Exports'!J6&lt;&gt;"",'Pasted_Exports'!J6,'File_Intake'!J6)</f>
        <v/>
      </c>
      <c r="K6" s="47">
        <f>IF('Pasted_Exports'!K6&lt;&gt;"",'Pasted_Exports'!K6,'File_Intake'!K6)</f>
        <v/>
      </c>
      <c r="L6" s="47">
        <f>IF('Pasted_Exports'!L6&lt;&gt;"",'Pasted_Exports'!L6,'File_Intake'!L6)</f>
        <v/>
      </c>
      <c r="M6" s="47">
        <f>IF('Pasted_Exports'!M6&lt;&gt;"",'Pasted_Exports'!M6,'File_Intake'!M6)</f>
        <v/>
      </c>
      <c r="N6" s="47">
        <f>IF('Pasted_Exports'!N6&lt;&gt;"",'Pasted_Exports'!N6,'File_Intake'!N6)</f>
        <v/>
      </c>
      <c r="O6" s="47">
        <f>IF('Pasted_Exports'!O6&lt;&gt;"",'Pasted_Exports'!O6,'File_Intake'!O6)</f>
        <v/>
      </c>
      <c r="P6" s="27">
        <f>IF('Pasted_Exports'!P6&lt;&gt;"",'Pasted_Exports'!P6,'File_Intake'!P6)</f>
        <v/>
      </c>
      <c r="Q6" s="27">
        <f>IF('Pasted_Exports'!Q6&lt;&gt;"",'Pasted_Exports'!Q6,'File_Intake'!Q6)</f>
        <v/>
      </c>
      <c r="R6" s="27">
        <f>IF('Pasted_Exports'!R6&lt;&gt;"",'Pasted_Exports'!R6,'File_Intake'!R6)</f>
        <v/>
      </c>
      <c r="S6" s="56">
        <f>IF('Pasted_Exports'!S6&lt;&gt;"",'Pasted_Exports'!S6,'File_Intake'!S6)</f>
        <v/>
      </c>
      <c r="T6" s="56">
        <f>IF('Pasted_Exports'!T6&lt;&gt;"",'Pasted_Exports'!T6,'File_Intake'!T6)</f>
        <v/>
      </c>
      <c r="U6" s="56">
        <f>IF('Pasted_Exports'!U6&lt;&gt;"",'Pasted_Exports'!U6,'File_Intake'!U6)</f>
        <v/>
      </c>
      <c r="V6" s="56">
        <f>IF('Pasted_Exports'!V6&lt;&gt;"",'Pasted_Exports'!V6,'File_Intake'!V6)</f>
        <v/>
      </c>
      <c r="W6" s="56">
        <f>IF('Pasted_Exports'!W6&lt;&gt;"",'Pasted_Exports'!W6,'File_Intake'!W6)</f>
        <v/>
      </c>
      <c r="X6" s="56">
        <f>IF('Pasted_Exports'!X6&lt;&gt;"",'Pasted_Exports'!X6,'File_Intake'!X6)</f>
        <v/>
      </c>
      <c r="Y6" s="56">
        <f>IF('Pasted_Exports'!Y6&lt;&gt;"",'Pasted_Exports'!Y6,'File_Intake'!Y6)</f>
        <v/>
      </c>
      <c r="Z6" s="56">
        <f>IF('Pasted_Exports'!Z6&lt;&gt;"",'Pasted_Exports'!Z6,'File_Intake'!Z6)</f>
        <v/>
      </c>
      <c r="AA6" s="56">
        <f>IF('Pasted_Exports'!AA6&lt;&gt;"",'Pasted_Exports'!AA6,'File_Intake'!AA6)</f>
        <v/>
      </c>
      <c r="AB6" s="56">
        <f>IF('Pasted_Exports'!AB6&lt;&gt;"",'Pasted_Exports'!AB6,'File_Intake'!AB6)</f>
        <v/>
      </c>
      <c r="AC6" s="56">
        <f>IF('Pasted_Exports'!AC6&lt;&gt;"",'Pasted_Exports'!AC6,'File_Intake'!AC6)</f>
        <v/>
      </c>
      <c r="AD6" s="56">
        <f>IF('Pasted_Exports'!AD6&lt;&gt;"",'Pasted_Exports'!AD6,'File_Intake'!AD6)</f>
        <v/>
      </c>
      <c r="AE6" s="56">
        <f>IF('Pasted_Exports'!AE6&lt;&gt;"",'Pasted_Exports'!AE6,'File_Intake'!AE6)</f>
        <v/>
      </c>
      <c r="AF6" s="56">
        <f>IF('Pasted_Exports'!AF6&lt;&gt;"",'Pasted_Exports'!AF6,'File_Intake'!AF6)</f>
        <v/>
      </c>
      <c r="AG6" s="56">
        <f>IF('Pasted_Exports'!AG6&lt;&gt;"",'Pasted_Exports'!AG6,'File_Intake'!AG6)</f>
        <v/>
      </c>
      <c r="AH6" s="27">
        <f>IF('Pasted_Exports'!AH6&lt;&gt;"",'Pasted_Exports'!AH6,'File_Intake'!AH6)</f>
        <v/>
      </c>
      <c r="AI6" s="27">
        <f>IF('Pasted_Exports'!AI6&lt;&gt;"",'Pasted_Exports'!AI6,'File_Intake'!AI6)</f>
        <v/>
      </c>
      <c r="AJ6" s="27">
        <f>IF('Pasted_Exports'!AJ6&lt;&gt;"",'Pasted_Exports'!AJ6,'File_Intake'!AJ6)</f>
        <v/>
      </c>
      <c r="AK6" s="27">
        <f>IF('Pasted_Exports'!AK6&lt;&gt;"",'Pasted_Exports'!AK6,'File_Intake'!AK6)</f>
        <v/>
      </c>
      <c r="AL6" s="27">
        <f>IF('Pasted_Exports'!AL6&lt;&gt;"",'Pasted_Exports'!AL6,'File_Intake'!AL6)</f>
        <v/>
      </c>
      <c r="AM6" s="27">
        <f>IF('Pasted_Exports'!AM6&lt;&gt;"",'Pasted_Exports'!AM6,'File_Intake'!AM6)</f>
        <v/>
      </c>
      <c r="AN6" s="27">
        <f>IF('Pasted_Exports'!AN6&lt;&gt;"",'Pasted_Exports'!AN6,'File_Intake'!AN6)</f>
        <v/>
      </c>
      <c r="AO6" s="27">
        <f>IF('Pasted_Exports'!AO6&lt;&gt;"",'Pasted_Exports'!AO6,'File_Intake'!AO6)</f>
        <v/>
      </c>
      <c r="AP6" s="27">
        <f>IF('Pasted_Exports'!AP6&lt;&gt;"",'Pasted_Exports'!AP6,'File_Intake'!AP6)</f>
        <v/>
      </c>
      <c r="AQ6" s="27">
        <f>IF('Pasted_Exports'!AQ6&lt;&gt;"",'Pasted_Exports'!AQ6,'File_Intake'!AQ6)</f>
        <v/>
      </c>
      <c r="AR6" s="27">
        <f>IF('Pasted_Exports'!AR6&lt;&gt;"",'Pasted_Exports'!AR6,'File_Intake'!AR6)</f>
        <v/>
      </c>
      <c r="AS6" s="27">
        <f>IF('Pasted_Exports'!AS6&lt;&gt;"",'Pasted_Exports'!AS6,'File_Intake'!AS6)</f>
        <v/>
      </c>
      <c r="AT6" s="47">
        <f>IF('Pasted_Exports'!AT6&lt;&gt;"",'Pasted_Exports'!AT6,'File_Intake'!AT6)</f>
        <v/>
      </c>
      <c r="AU6" s="47">
        <f>IF('Pasted_Exports'!AU6&lt;&gt;"",'Pasted_Exports'!AU6,'File_Intake'!AU6)</f>
        <v/>
      </c>
      <c r="AV6" s="47">
        <f>IF('Pasted_Exports'!AV6&lt;&gt;"",'Pasted_Exports'!AV6,'File_Intake'!AV6)</f>
        <v/>
      </c>
      <c r="AW6" s="56">
        <f>IF('Pasted_Exports'!AW6&lt;&gt;"",'Pasted_Exports'!AW6,'File_Intake'!AW6)</f>
        <v/>
      </c>
      <c r="AX6" s="56">
        <f>IF('Pasted_Exports'!AX6&lt;&gt;"",'Pasted_Exports'!AX6,'File_Intake'!AX6)</f>
        <v/>
      </c>
      <c r="AY6" s="56">
        <f>IF('Pasted_Exports'!AY6&lt;&gt;"",'Pasted_Exports'!AY6,'File_Intake'!AY6)</f>
        <v/>
      </c>
      <c r="AZ6" s="47">
        <f>IF('Pasted_Exports'!AZ6&lt;&gt;"",'Pasted_Exports'!AZ6,'File_Intake'!AZ6)</f>
        <v/>
      </c>
      <c r="BA6" s="47">
        <f>IF('Pasted_Exports'!BA6&lt;&gt;"",'Pasted_Exports'!BA6,'File_Intake'!BA6)</f>
        <v/>
      </c>
      <c r="BB6" s="47">
        <f>IF('Pasted_Exports'!BB6&lt;&gt;"",'Pasted_Exports'!BB6,'File_Intake'!BB6)</f>
        <v/>
      </c>
      <c r="BC6" s="27">
        <f>IF('Pasted_Exports'!BC6&lt;&gt;"",'Pasted_Exports'!BC6,'File_Intake'!BC6)</f>
        <v/>
      </c>
      <c r="BD6" s="27">
        <f>IF('Pasted_Exports'!BD6&lt;&gt;"",'Pasted_Exports'!BD6,'File_Intake'!BD6)</f>
        <v/>
      </c>
      <c r="BE6" s="27">
        <f>IF('Pasted_Exports'!BE6&lt;&gt;"",'Pasted_Exports'!BE6,'File_Intake'!BE6)</f>
        <v/>
      </c>
      <c r="BF6" s="47">
        <f>IF('Pasted_Exports'!BF6&lt;&gt;"",'Pasted_Exports'!BF6,'File_Intake'!BF6)</f>
        <v/>
      </c>
      <c r="BG6" s="47">
        <f>IF('Pasted_Exports'!BG6&lt;&gt;"",'Pasted_Exports'!BG6,'File_Intake'!BG6)</f>
        <v/>
      </c>
      <c r="BH6" s="47">
        <f>IF('Pasted_Exports'!BH6&lt;&gt;"",'Pasted_Exports'!BH6,'File_Intake'!BH6)</f>
        <v/>
      </c>
      <c r="BI6" s="47">
        <f>IF('Pasted_Exports'!BI6&lt;&gt;"",'Pasted_Exports'!BI6,'File_Intake'!BI6)</f>
        <v/>
      </c>
      <c r="BJ6" s="47">
        <f>IF('Pasted_Exports'!BJ6&lt;&gt;"",'Pasted_Exports'!BJ6,'File_Intake'!BJ6)</f>
        <v/>
      </c>
      <c r="BK6" s="47">
        <f>IF('Pasted_Exports'!BK6&lt;&gt;"",'Pasted_Exports'!BK6,'File_Intake'!BK6)</f>
        <v/>
      </c>
      <c r="BL6" s="47">
        <f>IF('Pasted_Exports'!BL6&lt;&gt;"",'Pasted_Exports'!BL6,'File_Intake'!BL6)</f>
        <v/>
      </c>
      <c r="BM6" s="47">
        <f>IF('Pasted_Exports'!BM6&lt;&gt;"",'Pasted_Exports'!BM6,'File_Intake'!BM6)</f>
        <v/>
      </c>
      <c r="BN6" s="47">
        <f>IF('Pasted_Exports'!BN6&lt;&gt;"",'Pasted_Exports'!BN6,'File_Intake'!BN6)</f>
        <v/>
      </c>
      <c r="BO6" s="47">
        <f>IF('Pasted_Exports'!BO6&lt;&gt;"",'Pasted_Exports'!BO6,'File_Intake'!BO6)</f>
        <v/>
      </c>
      <c r="BP6" s="47">
        <f>IF('Pasted_Exports'!BP6&lt;&gt;"",'Pasted_Exports'!BP6,'File_Intake'!BP6)</f>
        <v/>
      </c>
      <c r="BQ6" s="47">
        <f>IF('Pasted_Exports'!BQ6&lt;&gt;"",'Pasted_Exports'!BQ6,'File_Intake'!BQ6)</f>
        <v/>
      </c>
      <c r="BR6" s="47">
        <f>IF('Pasted_Exports'!BR6&lt;&gt;"",'Pasted_Exports'!BR6,'File_Intake'!BR6)</f>
        <v/>
      </c>
      <c r="BS6" s="47">
        <f>IF('Pasted_Exports'!BS6&lt;&gt;"",'Pasted_Exports'!BS6,'File_Intake'!BS6)</f>
        <v/>
      </c>
      <c r="BT6" s="47">
        <f>IF('Pasted_Exports'!BT6&lt;&gt;"",'Pasted_Exports'!BT6,'File_Intake'!BT6)</f>
        <v/>
      </c>
      <c r="BU6" s="47">
        <f>IF('Pasted_Exports'!BU6&lt;&gt;"",'Pasted_Exports'!BU6,'File_Intake'!BU6)</f>
        <v/>
      </c>
      <c r="BV6" s="47">
        <f>IF('Pasted_Exports'!BV6&lt;&gt;"",'Pasted_Exports'!BV6,'File_Intake'!BV6)</f>
        <v/>
      </c>
      <c r="BW6" s="47">
        <f>IF('Pasted_Exports'!BW6&lt;&gt;"",'Pasted_Exports'!BW6,'File_Intake'!BW6)</f>
        <v/>
      </c>
      <c r="BX6" s="29">
        <f>IF(AND($A6&lt;&gt;"",$B6&lt;&gt;"",$K6&gt;='Study_Setup'!$B$14,$L6&gt;='Study_Setup'!$B$15),1,0)</f>
        <v/>
      </c>
      <c r="BY6" s="30">
        <f>IF($A6="","",TEXTJOIN("; ",TRUE,IF($B6="","Missing arm",""),IF($K6&lt;'Study_Setup'!$B$14,"Low off-days",""),IF($L6&lt;'Study_Setup'!$B$15,"Low on-days",""),IF($AM6&gt;'Study_Setup'!$B$19,"Hypo burden increased","")))</f>
        <v/>
      </c>
      <c r="BZ6" s="61">
        <f>IFERROR($M6-$N6,"")</f>
        <v/>
      </c>
      <c r="CA6" s="62">
        <f>IFERROR(($M6-$N6)/$M6,"")</f>
        <v/>
      </c>
      <c r="CB6" s="33">
        <f>IFERROR($P6-$Q6,"")</f>
        <v/>
      </c>
      <c r="CC6" s="63">
        <f>IFERROR($T6-$S6,"")</f>
        <v/>
      </c>
      <c r="CD6" s="33">
        <f>IFERROR($AH6-$AI6,"")</f>
        <v/>
      </c>
      <c r="CE6" s="62">
        <f>IFERROR(($AH6-$AI6)/$AH6,"")</f>
        <v/>
      </c>
      <c r="CF6" s="33">
        <f>IFERROR($AQ6-$AR6,"")</f>
        <v/>
      </c>
      <c r="CG6" s="61">
        <f>IFERROR($BO6-$BP6,"")</f>
        <v/>
      </c>
      <c r="CH6" s="61">
        <f>IFERROR($BI6-$BJ6,"")</f>
        <v/>
      </c>
      <c r="CI6" s="61">
        <f>IFERROR($BL6-$BM6,"")</f>
        <v/>
      </c>
      <c r="CJ6" s="61">
        <f>IFERROR($BF6-$BG6,"")</f>
        <v/>
      </c>
      <c r="CK6" s="33">
        <f>IFERROR($BC6-$BD6,"")</f>
        <v/>
      </c>
      <c r="CL6" s="29">
        <f>IF($A6="","",IF($AM6&lt;='Study_Setup'!$B$19,1,0))</f>
        <v/>
      </c>
      <c r="CM6" s="29">
        <f>IF($A6="","",IF(AND($BZ6&gt;='Study_Setup'!$B$16,$CC6&gt;='Study_Setup'!$B$17,$CE6&gt;='Study_Setup'!$B$18,$CL6=1),1,0))</f>
        <v/>
      </c>
      <c r="CN6" s="61">
        <f>IFERROR(40*MIN(1,$BZ6/'Study_Setup'!$B$16)+25*MIN(1,$CC6/'Study_Setup'!$B$17)+25*MIN(1,$CE6/'Study_Setup'!$B$18)+10*$CL6,"")</f>
        <v/>
      </c>
      <c r="CO6">
        <f>IF('Pasted_Exports'!BX6&lt;&gt;"",'Pasted_Exports'!BX6,'File_Intake'!BX6)</f>
        <v/>
      </c>
      <c r="CP6" s="57">
        <f>IF('Pasted_Exports'!BY6&lt;&gt;"",'Pasted_Exports'!BY6,'File_Intake'!BY6)</f>
        <v/>
      </c>
      <c r="CQ6" s="57">
        <f>IF('Pasted_Exports'!BZ6&lt;&gt;"",'Pasted_Exports'!BZ6,'File_Intake'!BZ6)</f>
        <v/>
      </c>
      <c r="CR6" s="57">
        <f>IF('Pasted_Exports'!CA6&lt;&gt;"",'Pasted_Exports'!CA6,'File_Intake'!CA6)</f>
        <v/>
      </c>
      <c r="CS6" s="58">
        <f>IF('Pasted_Exports'!CB6&lt;&gt;"",'Pasted_Exports'!CB6,'File_Intake'!CB6)</f>
        <v/>
      </c>
      <c r="CT6" s="59">
        <f>IF('Pasted_Exports'!CC6&lt;&gt;"",'Pasted_Exports'!CC6,'File_Intake'!CC6)</f>
        <v/>
      </c>
      <c r="CU6">
        <f>IF('Pasted_Exports'!CD6&lt;&gt;"",'Pasted_Exports'!CD6,'File_Intake'!CD6)</f>
        <v/>
      </c>
      <c r="CV6">
        <f>IF('Pasted_Exports'!CE6&lt;&gt;"",'Pasted_Exports'!CE6,'File_Intake'!CE6)</f>
        <v/>
      </c>
      <c r="CW6" s="60">
        <f>IF('Pasted_Exports'!CF6&lt;&gt;"",'Pasted_Exports'!CF6,'File_Intake'!CF6)</f>
        <v/>
      </c>
      <c r="CX6" s="60">
        <f>IF('Pasted_Exports'!CG6&lt;&gt;"",'Pasted_Exports'!CG6,'File_Intake'!CG6)</f>
        <v/>
      </c>
      <c r="CY6">
        <f>IF('Pasted_Exports'!CH6&lt;&gt;"",'Pasted_Exports'!CH6,'File_Intake'!CH6)</f>
        <v/>
      </c>
    </row>
    <row r="7">
      <c r="A7" s="24">
        <f>IF('Pasted_Exports'!A7&lt;&gt;"",'Pasted_Exports'!A7,'File_Intake'!A7)</f>
        <v/>
      </c>
      <c r="B7" s="24">
        <f>IF('Pasted_Exports'!B7&lt;&gt;"",'Pasted_Exports'!B7,'File_Intake'!B7)</f>
        <v/>
      </c>
      <c r="C7" s="24">
        <f>IF('Pasted_Exports'!C7&lt;&gt;"",'Pasted_Exports'!C7,'File_Intake'!C7)</f>
        <v/>
      </c>
      <c r="D7" s="24">
        <f>IF('Pasted_Exports'!D7&lt;&gt;"",'Pasted_Exports'!D7,'File_Intake'!D7)</f>
        <v/>
      </c>
      <c r="E7" s="55">
        <f>IF('Pasted_Exports'!E7&lt;&gt;"",'Pasted_Exports'!E7,'File_Intake'!E7)</f>
        <v/>
      </c>
      <c r="F7" s="26">
        <f>IF('Pasted_Exports'!F7&lt;&gt;"",'Pasted_Exports'!F7,'File_Intake'!F7)</f>
        <v/>
      </c>
      <c r="G7" s="26">
        <f>IF('Pasted_Exports'!G7&lt;&gt;"",'Pasted_Exports'!G7,'File_Intake'!G7)</f>
        <v/>
      </c>
      <c r="H7" s="47">
        <f>IF('Pasted_Exports'!H7&lt;&gt;"",'Pasted_Exports'!H7,'File_Intake'!H7)</f>
        <v/>
      </c>
      <c r="I7" s="26">
        <f>IF('Pasted_Exports'!I7&lt;&gt;"",'Pasted_Exports'!I7,'File_Intake'!I7)</f>
        <v/>
      </c>
      <c r="J7" s="26">
        <f>IF('Pasted_Exports'!J7&lt;&gt;"",'Pasted_Exports'!J7,'File_Intake'!J7)</f>
        <v/>
      </c>
      <c r="K7" s="47">
        <f>IF('Pasted_Exports'!K7&lt;&gt;"",'Pasted_Exports'!K7,'File_Intake'!K7)</f>
        <v/>
      </c>
      <c r="L7" s="47">
        <f>IF('Pasted_Exports'!L7&lt;&gt;"",'Pasted_Exports'!L7,'File_Intake'!L7)</f>
        <v/>
      </c>
      <c r="M7" s="47">
        <f>IF('Pasted_Exports'!M7&lt;&gt;"",'Pasted_Exports'!M7,'File_Intake'!M7)</f>
        <v/>
      </c>
      <c r="N7" s="47">
        <f>IF('Pasted_Exports'!N7&lt;&gt;"",'Pasted_Exports'!N7,'File_Intake'!N7)</f>
        <v/>
      </c>
      <c r="O7" s="47">
        <f>IF('Pasted_Exports'!O7&lt;&gt;"",'Pasted_Exports'!O7,'File_Intake'!O7)</f>
        <v/>
      </c>
      <c r="P7" s="27">
        <f>IF('Pasted_Exports'!P7&lt;&gt;"",'Pasted_Exports'!P7,'File_Intake'!P7)</f>
        <v/>
      </c>
      <c r="Q7" s="27">
        <f>IF('Pasted_Exports'!Q7&lt;&gt;"",'Pasted_Exports'!Q7,'File_Intake'!Q7)</f>
        <v/>
      </c>
      <c r="R7" s="27">
        <f>IF('Pasted_Exports'!R7&lt;&gt;"",'Pasted_Exports'!R7,'File_Intake'!R7)</f>
        <v/>
      </c>
      <c r="S7" s="56">
        <f>IF('Pasted_Exports'!S7&lt;&gt;"",'Pasted_Exports'!S7,'File_Intake'!S7)</f>
        <v/>
      </c>
      <c r="T7" s="56">
        <f>IF('Pasted_Exports'!T7&lt;&gt;"",'Pasted_Exports'!T7,'File_Intake'!T7)</f>
        <v/>
      </c>
      <c r="U7" s="56">
        <f>IF('Pasted_Exports'!U7&lt;&gt;"",'Pasted_Exports'!U7,'File_Intake'!U7)</f>
        <v/>
      </c>
      <c r="V7" s="56">
        <f>IF('Pasted_Exports'!V7&lt;&gt;"",'Pasted_Exports'!V7,'File_Intake'!V7)</f>
        <v/>
      </c>
      <c r="W7" s="56">
        <f>IF('Pasted_Exports'!W7&lt;&gt;"",'Pasted_Exports'!W7,'File_Intake'!W7)</f>
        <v/>
      </c>
      <c r="X7" s="56">
        <f>IF('Pasted_Exports'!X7&lt;&gt;"",'Pasted_Exports'!X7,'File_Intake'!X7)</f>
        <v/>
      </c>
      <c r="Y7" s="56">
        <f>IF('Pasted_Exports'!Y7&lt;&gt;"",'Pasted_Exports'!Y7,'File_Intake'!Y7)</f>
        <v/>
      </c>
      <c r="Z7" s="56">
        <f>IF('Pasted_Exports'!Z7&lt;&gt;"",'Pasted_Exports'!Z7,'File_Intake'!Z7)</f>
        <v/>
      </c>
      <c r="AA7" s="56">
        <f>IF('Pasted_Exports'!AA7&lt;&gt;"",'Pasted_Exports'!AA7,'File_Intake'!AA7)</f>
        <v/>
      </c>
      <c r="AB7" s="56">
        <f>IF('Pasted_Exports'!AB7&lt;&gt;"",'Pasted_Exports'!AB7,'File_Intake'!AB7)</f>
        <v/>
      </c>
      <c r="AC7" s="56">
        <f>IF('Pasted_Exports'!AC7&lt;&gt;"",'Pasted_Exports'!AC7,'File_Intake'!AC7)</f>
        <v/>
      </c>
      <c r="AD7" s="56">
        <f>IF('Pasted_Exports'!AD7&lt;&gt;"",'Pasted_Exports'!AD7,'File_Intake'!AD7)</f>
        <v/>
      </c>
      <c r="AE7" s="56">
        <f>IF('Pasted_Exports'!AE7&lt;&gt;"",'Pasted_Exports'!AE7,'File_Intake'!AE7)</f>
        <v/>
      </c>
      <c r="AF7" s="56">
        <f>IF('Pasted_Exports'!AF7&lt;&gt;"",'Pasted_Exports'!AF7,'File_Intake'!AF7)</f>
        <v/>
      </c>
      <c r="AG7" s="56">
        <f>IF('Pasted_Exports'!AG7&lt;&gt;"",'Pasted_Exports'!AG7,'File_Intake'!AG7)</f>
        <v/>
      </c>
      <c r="AH7" s="27">
        <f>IF('Pasted_Exports'!AH7&lt;&gt;"",'Pasted_Exports'!AH7,'File_Intake'!AH7)</f>
        <v/>
      </c>
      <c r="AI7" s="27">
        <f>IF('Pasted_Exports'!AI7&lt;&gt;"",'Pasted_Exports'!AI7,'File_Intake'!AI7)</f>
        <v/>
      </c>
      <c r="AJ7" s="27">
        <f>IF('Pasted_Exports'!AJ7&lt;&gt;"",'Pasted_Exports'!AJ7,'File_Intake'!AJ7)</f>
        <v/>
      </c>
      <c r="AK7" s="27">
        <f>IF('Pasted_Exports'!AK7&lt;&gt;"",'Pasted_Exports'!AK7,'File_Intake'!AK7)</f>
        <v/>
      </c>
      <c r="AL7" s="27">
        <f>IF('Pasted_Exports'!AL7&lt;&gt;"",'Pasted_Exports'!AL7,'File_Intake'!AL7)</f>
        <v/>
      </c>
      <c r="AM7" s="27">
        <f>IF('Pasted_Exports'!AM7&lt;&gt;"",'Pasted_Exports'!AM7,'File_Intake'!AM7)</f>
        <v/>
      </c>
      <c r="AN7" s="27">
        <f>IF('Pasted_Exports'!AN7&lt;&gt;"",'Pasted_Exports'!AN7,'File_Intake'!AN7)</f>
        <v/>
      </c>
      <c r="AO7" s="27">
        <f>IF('Pasted_Exports'!AO7&lt;&gt;"",'Pasted_Exports'!AO7,'File_Intake'!AO7)</f>
        <v/>
      </c>
      <c r="AP7" s="27">
        <f>IF('Pasted_Exports'!AP7&lt;&gt;"",'Pasted_Exports'!AP7,'File_Intake'!AP7)</f>
        <v/>
      </c>
      <c r="AQ7" s="27">
        <f>IF('Pasted_Exports'!AQ7&lt;&gt;"",'Pasted_Exports'!AQ7,'File_Intake'!AQ7)</f>
        <v/>
      </c>
      <c r="AR7" s="27">
        <f>IF('Pasted_Exports'!AR7&lt;&gt;"",'Pasted_Exports'!AR7,'File_Intake'!AR7)</f>
        <v/>
      </c>
      <c r="AS7" s="27">
        <f>IF('Pasted_Exports'!AS7&lt;&gt;"",'Pasted_Exports'!AS7,'File_Intake'!AS7)</f>
        <v/>
      </c>
      <c r="AT7" s="47">
        <f>IF('Pasted_Exports'!AT7&lt;&gt;"",'Pasted_Exports'!AT7,'File_Intake'!AT7)</f>
        <v/>
      </c>
      <c r="AU7" s="47">
        <f>IF('Pasted_Exports'!AU7&lt;&gt;"",'Pasted_Exports'!AU7,'File_Intake'!AU7)</f>
        <v/>
      </c>
      <c r="AV7" s="47">
        <f>IF('Pasted_Exports'!AV7&lt;&gt;"",'Pasted_Exports'!AV7,'File_Intake'!AV7)</f>
        <v/>
      </c>
      <c r="AW7" s="56">
        <f>IF('Pasted_Exports'!AW7&lt;&gt;"",'Pasted_Exports'!AW7,'File_Intake'!AW7)</f>
        <v/>
      </c>
      <c r="AX7" s="56">
        <f>IF('Pasted_Exports'!AX7&lt;&gt;"",'Pasted_Exports'!AX7,'File_Intake'!AX7)</f>
        <v/>
      </c>
      <c r="AY7" s="56">
        <f>IF('Pasted_Exports'!AY7&lt;&gt;"",'Pasted_Exports'!AY7,'File_Intake'!AY7)</f>
        <v/>
      </c>
      <c r="AZ7" s="47">
        <f>IF('Pasted_Exports'!AZ7&lt;&gt;"",'Pasted_Exports'!AZ7,'File_Intake'!AZ7)</f>
        <v/>
      </c>
      <c r="BA7" s="47">
        <f>IF('Pasted_Exports'!BA7&lt;&gt;"",'Pasted_Exports'!BA7,'File_Intake'!BA7)</f>
        <v/>
      </c>
      <c r="BB7" s="47">
        <f>IF('Pasted_Exports'!BB7&lt;&gt;"",'Pasted_Exports'!BB7,'File_Intake'!BB7)</f>
        <v/>
      </c>
      <c r="BC7" s="27">
        <f>IF('Pasted_Exports'!BC7&lt;&gt;"",'Pasted_Exports'!BC7,'File_Intake'!BC7)</f>
        <v/>
      </c>
      <c r="BD7" s="27">
        <f>IF('Pasted_Exports'!BD7&lt;&gt;"",'Pasted_Exports'!BD7,'File_Intake'!BD7)</f>
        <v/>
      </c>
      <c r="BE7" s="27">
        <f>IF('Pasted_Exports'!BE7&lt;&gt;"",'Pasted_Exports'!BE7,'File_Intake'!BE7)</f>
        <v/>
      </c>
      <c r="BF7" s="47">
        <f>IF('Pasted_Exports'!BF7&lt;&gt;"",'Pasted_Exports'!BF7,'File_Intake'!BF7)</f>
        <v/>
      </c>
      <c r="BG7" s="47">
        <f>IF('Pasted_Exports'!BG7&lt;&gt;"",'Pasted_Exports'!BG7,'File_Intake'!BG7)</f>
        <v/>
      </c>
      <c r="BH7" s="47">
        <f>IF('Pasted_Exports'!BH7&lt;&gt;"",'Pasted_Exports'!BH7,'File_Intake'!BH7)</f>
        <v/>
      </c>
      <c r="BI7" s="47">
        <f>IF('Pasted_Exports'!BI7&lt;&gt;"",'Pasted_Exports'!BI7,'File_Intake'!BI7)</f>
        <v/>
      </c>
      <c r="BJ7" s="47">
        <f>IF('Pasted_Exports'!BJ7&lt;&gt;"",'Pasted_Exports'!BJ7,'File_Intake'!BJ7)</f>
        <v/>
      </c>
      <c r="BK7" s="47">
        <f>IF('Pasted_Exports'!BK7&lt;&gt;"",'Pasted_Exports'!BK7,'File_Intake'!BK7)</f>
        <v/>
      </c>
      <c r="BL7" s="47">
        <f>IF('Pasted_Exports'!BL7&lt;&gt;"",'Pasted_Exports'!BL7,'File_Intake'!BL7)</f>
        <v/>
      </c>
      <c r="BM7" s="47">
        <f>IF('Pasted_Exports'!BM7&lt;&gt;"",'Pasted_Exports'!BM7,'File_Intake'!BM7)</f>
        <v/>
      </c>
      <c r="BN7" s="47">
        <f>IF('Pasted_Exports'!BN7&lt;&gt;"",'Pasted_Exports'!BN7,'File_Intake'!BN7)</f>
        <v/>
      </c>
      <c r="BO7" s="47">
        <f>IF('Pasted_Exports'!BO7&lt;&gt;"",'Pasted_Exports'!BO7,'File_Intake'!BO7)</f>
        <v/>
      </c>
      <c r="BP7" s="47">
        <f>IF('Pasted_Exports'!BP7&lt;&gt;"",'Pasted_Exports'!BP7,'File_Intake'!BP7)</f>
        <v/>
      </c>
      <c r="BQ7" s="47">
        <f>IF('Pasted_Exports'!BQ7&lt;&gt;"",'Pasted_Exports'!BQ7,'File_Intake'!BQ7)</f>
        <v/>
      </c>
      <c r="BR7" s="47">
        <f>IF('Pasted_Exports'!BR7&lt;&gt;"",'Pasted_Exports'!BR7,'File_Intake'!BR7)</f>
        <v/>
      </c>
      <c r="BS7" s="47">
        <f>IF('Pasted_Exports'!BS7&lt;&gt;"",'Pasted_Exports'!BS7,'File_Intake'!BS7)</f>
        <v/>
      </c>
      <c r="BT7" s="47">
        <f>IF('Pasted_Exports'!BT7&lt;&gt;"",'Pasted_Exports'!BT7,'File_Intake'!BT7)</f>
        <v/>
      </c>
      <c r="BU7" s="47">
        <f>IF('Pasted_Exports'!BU7&lt;&gt;"",'Pasted_Exports'!BU7,'File_Intake'!BU7)</f>
        <v/>
      </c>
      <c r="BV7" s="47">
        <f>IF('Pasted_Exports'!BV7&lt;&gt;"",'Pasted_Exports'!BV7,'File_Intake'!BV7)</f>
        <v/>
      </c>
      <c r="BW7" s="47">
        <f>IF('Pasted_Exports'!BW7&lt;&gt;"",'Pasted_Exports'!BW7,'File_Intake'!BW7)</f>
        <v/>
      </c>
      <c r="BX7" s="29">
        <f>IF(AND($A7&lt;&gt;"",$B7&lt;&gt;"",$K7&gt;='Study_Setup'!$B$14,$L7&gt;='Study_Setup'!$B$15),1,0)</f>
        <v/>
      </c>
      <c r="BY7" s="30">
        <f>IF($A7="","",TEXTJOIN("; ",TRUE,IF($B7="","Missing arm",""),IF($K7&lt;'Study_Setup'!$B$14,"Low off-days",""),IF($L7&lt;'Study_Setup'!$B$15,"Low on-days",""),IF($AM7&gt;'Study_Setup'!$B$19,"Hypo burden increased","")))</f>
        <v/>
      </c>
      <c r="BZ7" s="61">
        <f>IFERROR($M7-$N7,"")</f>
        <v/>
      </c>
      <c r="CA7" s="62">
        <f>IFERROR(($M7-$N7)/$M7,"")</f>
        <v/>
      </c>
      <c r="CB7" s="33">
        <f>IFERROR($P7-$Q7,"")</f>
        <v/>
      </c>
      <c r="CC7" s="63">
        <f>IFERROR($T7-$S7,"")</f>
        <v/>
      </c>
      <c r="CD7" s="33">
        <f>IFERROR($AH7-$AI7,"")</f>
        <v/>
      </c>
      <c r="CE7" s="62">
        <f>IFERROR(($AH7-$AI7)/$AH7,"")</f>
        <v/>
      </c>
      <c r="CF7" s="33">
        <f>IFERROR($AQ7-$AR7,"")</f>
        <v/>
      </c>
      <c r="CG7" s="61">
        <f>IFERROR($BO7-$BP7,"")</f>
        <v/>
      </c>
      <c r="CH7" s="61">
        <f>IFERROR($BI7-$BJ7,"")</f>
        <v/>
      </c>
      <c r="CI7" s="61">
        <f>IFERROR($BL7-$BM7,"")</f>
        <v/>
      </c>
      <c r="CJ7" s="61">
        <f>IFERROR($BF7-$BG7,"")</f>
        <v/>
      </c>
      <c r="CK7" s="33">
        <f>IFERROR($BC7-$BD7,"")</f>
        <v/>
      </c>
      <c r="CL7" s="29">
        <f>IF($A7="","",IF($AM7&lt;='Study_Setup'!$B$19,1,0))</f>
        <v/>
      </c>
      <c r="CM7" s="29">
        <f>IF($A7="","",IF(AND($BZ7&gt;='Study_Setup'!$B$16,$CC7&gt;='Study_Setup'!$B$17,$CE7&gt;='Study_Setup'!$B$18,$CL7=1),1,0))</f>
        <v/>
      </c>
      <c r="CN7" s="61">
        <f>IFERROR(40*MIN(1,$BZ7/'Study_Setup'!$B$16)+25*MIN(1,$CC7/'Study_Setup'!$B$17)+25*MIN(1,$CE7/'Study_Setup'!$B$18)+10*$CL7,"")</f>
        <v/>
      </c>
      <c r="CO7">
        <f>IF('Pasted_Exports'!BX7&lt;&gt;"",'Pasted_Exports'!BX7,'File_Intake'!BX7)</f>
        <v/>
      </c>
      <c r="CP7" s="57">
        <f>IF('Pasted_Exports'!BY7&lt;&gt;"",'Pasted_Exports'!BY7,'File_Intake'!BY7)</f>
        <v/>
      </c>
      <c r="CQ7" s="57">
        <f>IF('Pasted_Exports'!BZ7&lt;&gt;"",'Pasted_Exports'!BZ7,'File_Intake'!BZ7)</f>
        <v/>
      </c>
      <c r="CR7" s="57">
        <f>IF('Pasted_Exports'!CA7&lt;&gt;"",'Pasted_Exports'!CA7,'File_Intake'!CA7)</f>
        <v/>
      </c>
      <c r="CS7" s="58">
        <f>IF('Pasted_Exports'!CB7&lt;&gt;"",'Pasted_Exports'!CB7,'File_Intake'!CB7)</f>
        <v/>
      </c>
      <c r="CT7" s="59">
        <f>IF('Pasted_Exports'!CC7&lt;&gt;"",'Pasted_Exports'!CC7,'File_Intake'!CC7)</f>
        <v/>
      </c>
      <c r="CU7">
        <f>IF('Pasted_Exports'!CD7&lt;&gt;"",'Pasted_Exports'!CD7,'File_Intake'!CD7)</f>
        <v/>
      </c>
      <c r="CV7">
        <f>IF('Pasted_Exports'!CE7&lt;&gt;"",'Pasted_Exports'!CE7,'File_Intake'!CE7)</f>
        <v/>
      </c>
      <c r="CW7" s="60">
        <f>IF('Pasted_Exports'!CF7&lt;&gt;"",'Pasted_Exports'!CF7,'File_Intake'!CF7)</f>
        <v/>
      </c>
      <c r="CX7" s="60">
        <f>IF('Pasted_Exports'!CG7&lt;&gt;"",'Pasted_Exports'!CG7,'File_Intake'!CG7)</f>
        <v/>
      </c>
      <c r="CY7">
        <f>IF('Pasted_Exports'!CH7&lt;&gt;"",'Pasted_Exports'!CH7,'File_Intake'!CH7)</f>
        <v/>
      </c>
    </row>
    <row r="8">
      <c r="A8" s="24">
        <f>IF('Pasted_Exports'!A8&lt;&gt;"",'Pasted_Exports'!A8,'File_Intake'!A8)</f>
        <v/>
      </c>
      <c r="B8" s="24">
        <f>IF('Pasted_Exports'!B8&lt;&gt;"",'Pasted_Exports'!B8,'File_Intake'!B8)</f>
        <v/>
      </c>
      <c r="C8" s="24">
        <f>IF('Pasted_Exports'!C8&lt;&gt;"",'Pasted_Exports'!C8,'File_Intake'!C8)</f>
        <v/>
      </c>
      <c r="D8" s="24">
        <f>IF('Pasted_Exports'!D8&lt;&gt;"",'Pasted_Exports'!D8,'File_Intake'!D8)</f>
        <v/>
      </c>
      <c r="E8" s="55">
        <f>IF('Pasted_Exports'!E8&lt;&gt;"",'Pasted_Exports'!E8,'File_Intake'!E8)</f>
        <v/>
      </c>
      <c r="F8" s="26">
        <f>IF('Pasted_Exports'!F8&lt;&gt;"",'Pasted_Exports'!F8,'File_Intake'!F8)</f>
        <v/>
      </c>
      <c r="G8" s="26">
        <f>IF('Pasted_Exports'!G8&lt;&gt;"",'Pasted_Exports'!G8,'File_Intake'!G8)</f>
        <v/>
      </c>
      <c r="H8" s="47">
        <f>IF('Pasted_Exports'!H8&lt;&gt;"",'Pasted_Exports'!H8,'File_Intake'!H8)</f>
        <v/>
      </c>
      <c r="I8" s="26">
        <f>IF('Pasted_Exports'!I8&lt;&gt;"",'Pasted_Exports'!I8,'File_Intake'!I8)</f>
        <v/>
      </c>
      <c r="J8" s="26">
        <f>IF('Pasted_Exports'!J8&lt;&gt;"",'Pasted_Exports'!J8,'File_Intake'!J8)</f>
        <v/>
      </c>
      <c r="K8" s="47">
        <f>IF('Pasted_Exports'!K8&lt;&gt;"",'Pasted_Exports'!K8,'File_Intake'!K8)</f>
        <v/>
      </c>
      <c r="L8" s="47">
        <f>IF('Pasted_Exports'!L8&lt;&gt;"",'Pasted_Exports'!L8,'File_Intake'!L8)</f>
        <v/>
      </c>
      <c r="M8" s="47">
        <f>IF('Pasted_Exports'!M8&lt;&gt;"",'Pasted_Exports'!M8,'File_Intake'!M8)</f>
        <v/>
      </c>
      <c r="N8" s="47">
        <f>IF('Pasted_Exports'!N8&lt;&gt;"",'Pasted_Exports'!N8,'File_Intake'!N8)</f>
        <v/>
      </c>
      <c r="O8" s="47">
        <f>IF('Pasted_Exports'!O8&lt;&gt;"",'Pasted_Exports'!O8,'File_Intake'!O8)</f>
        <v/>
      </c>
      <c r="P8" s="27">
        <f>IF('Pasted_Exports'!P8&lt;&gt;"",'Pasted_Exports'!P8,'File_Intake'!P8)</f>
        <v/>
      </c>
      <c r="Q8" s="27">
        <f>IF('Pasted_Exports'!Q8&lt;&gt;"",'Pasted_Exports'!Q8,'File_Intake'!Q8)</f>
        <v/>
      </c>
      <c r="R8" s="27">
        <f>IF('Pasted_Exports'!R8&lt;&gt;"",'Pasted_Exports'!R8,'File_Intake'!R8)</f>
        <v/>
      </c>
      <c r="S8" s="56">
        <f>IF('Pasted_Exports'!S8&lt;&gt;"",'Pasted_Exports'!S8,'File_Intake'!S8)</f>
        <v/>
      </c>
      <c r="T8" s="56">
        <f>IF('Pasted_Exports'!T8&lt;&gt;"",'Pasted_Exports'!T8,'File_Intake'!T8)</f>
        <v/>
      </c>
      <c r="U8" s="56">
        <f>IF('Pasted_Exports'!U8&lt;&gt;"",'Pasted_Exports'!U8,'File_Intake'!U8)</f>
        <v/>
      </c>
      <c r="V8" s="56">
        <f>IF('Pasted_Exports'!V8&lt;&gt;"",'Pasted_Exports'!V8,'File_Intake'!V8)</f>
        <v/>
      </c>
      <c r="W8" s="56">
        <f>IF('Pasted_Exports'!W8&lt;&gt;"",'Pasted_Exports'!W8,'File_Intake'!W8)</f>
        <v/>
      </c>
      <c r="X8" s="56">
        <f>IF('Pasted_Exports'!X8&lt;&gt;"",'Pasted_Exports'!X8,'File_Intake'!X8)</f>
        <v/>
      </c>
      <c r="Y8" s="56">
        <f>IF('Pasted_Exports'!Y8&lt;&gt;"",'Pasted_Exports'!Y8,'File_Intake'!Y8)</f>
        <v/>
      </c>
      <c r="Z8" s="56">
        <f>IF('Pasted_Exports'!Z8&lt;&gt;"",'Pasted_Exports'!Z8,'File_Intake'!Z8)</f>
        <v/>
      </c>
      <c r="AA8" s="56">
        <f>IF('Pasted_Exports'!AA8&lt;&gt;"",'Pasted_Exports'!AA8,'File_Intake'!AA8)</f>
        <v/>
      </c>
      <c r="AB8" s="56">
        <f>IF('Pasted_Exports'!AB8&lt;&gt;"",'Pasted_Exports'!AB8,'File_Intake'!AB8)</f>
        <v/>
      </c>
      <c r="AC8" s="56">
        <f>IF('Pasted_Exports'!AC8&lt;&gt;"",'Pasted_Exports'!AC8,'File_Intake'!AC8)</f>
        <v/>
      </c>
      <c r="AD8" s="56">
        <f>IF('Pasted_Exports'!AD8&lt;&gt;"",'Pasted_Exports'!AD8,'File_Intake'!AD8)</f>
        <v/>
      </c>
      <c r="AE8" s="56">
        <f>IF('Pasted_Exports'!AE8&lt;&gt;"",'Pasted_Exports'!AE8,'File_Intake'!AE8)</f>
        <v/>
      </c>
      <c r="AF8" s="56">
        <f>IF('Pasted_Exports'!AF8&lt;&gt;"",'Pasted_Exports'!AF8,'File_Intake'!AF8)</f>
        <v/>
      </c>
      <c r="AG8" s="56">
        <f>IF('Pasted_Exports'!AG8&lt;&gt;"",'Pasted_Exports'!AG8,'File_Intake'!AG8)</f>
        <v/>
      </c>
      <c r="AH8" s="27">
        <f>IF('Pasted_Exports'!AH8&lt;&gt;"",'Pasted_Exports'!AH8,'File_Intake'!AH8)</f>
        <v/>
      </c>
      <c r="AI8" s="27">
        <f>IF('Pasted_Exports'!AI8&lt;&gt;"",'Pasted_Exports'!AI8,'File_Intake'!AI8)</f>
        <v/>
      </c>
      <c r="AJ8" s="27">
        <f>IF('Pasted_Exports'!AJ8&lt;&gt;"",'Pasted_Exports'!AJ8,'File_Intake'!AJ8)</f>
        <v/>
      </c>
      <c r="AK8" s="27">
        <f>IF('Pasted_Exports'!AK8&lt;&gt;"",'Pasted_Exports'!AK8,'File_Intake'!AK8)</f>
        <v/>
      </c>
      <c r="AL8" s="27">
        <f>IF('Pasted_Exports'!AL8&lt;&gt;"",'Pasted_Exports'!AL8,'File_Intake'!AL8)</f>
        <v/>
      </c>
      <c r="AM8" s="27">
        <f>IF('Pasted_Exports'!AM8&lt;&gt;"",'Pasted_Exports'!AM8,'File_Intake'!AM8)</f>
        <v/>
      </c>
      <c r="AN8" s="27">
        <f>IF('Pasted_Exports'!AN8&lt;&gt;"",'Pasted_Exports'!AN8,'File_Intake'!AN8)</f>
        <v/>
      </c>
      <c r="AO8" s="27">
        <f>IF('Pasted_Exports'!AO8&lt;&gt;"",'Pasted_Exports'!AO8,'File_Intake'!AO8)</f>
        <v/>
      </c>
      <c r="AP8" s="27">
        <f>IF('Pasted_Exports'!AP8&lt;&gt;"",'Pasted_Exports'!AP8,'File_Intake'!AP8)</f>
        <v/>
      </c>
      <c r="AQ8" s="27">
        <f>IF('Pasted_Exports'!AQ8&lt;&gt;"",'Pasted_Exports'!AQ8,'File_Intake'!AQ8)</f>
        <v/>
      </c>
      <c r="AR8" s="27">
        <f>IF('Pasted_Exports'!AR8&lt;&gt;"",'Pasted_Exports'!AR8,'File_Intake'!AR8)</f>
        <v/>
      </c>
      <c r="AS8" s="27">
        <f>IF('Pasted_Exports'!AS8&lt;&gt;"",'Pasted_Exports'!AS8,'File_Intake'!AS8)</f>
        <v/>
      </c>
      <c r="AT8" s="47">
        <f>IF('Pasted_Exports'!AT8&lt;&gt;"",'Pasted_Exports'!AT8,'File_Intake'!AT8)</f>
        <v/>
      </c>
      <c r="AU8" s="47">
        <f>IF('Pasted_Exports'!AU8&lt;&gt;"",'Pasted_Exports'!AU8,'File_Intake'!AU8)</f>
        <v/>
      </c>
      <c r="AV8" s="47">
        <f>IF('Pasted_Exports'!AV8&lt;&gt;"",'Pasted_Exports'!AV8,'File_Intake'!AV8)</f>
        <v/>
      </c>
      <c r="AW8" s="56">
        <f>IF('Pasted_Exports'!AW8&lt;&gt;"",'Pasted_Exports'!AW8,'File_Intake'!AW8)</f>
        <v/>
      </c>
      <c r="AX8" s="56">
        <f>IF('Pasted_Exports'!AX8&lt;&gt;"",'Pasted_Exports'!AX8,'File_Intake'!AX8)</f>
        <v/>
      </c>
      <c r="AY8" s="56">
        <f>IF('Pasted_Exports'!AY8&lt;&gt;"",'Pasted_Exports'!AY8,'File_Intake'!AY8)</f>
        <v/>
      </c>
      <c r="AZ8" s="47">
        <f>IF('Pasted_Exports'!AZ8&lt;&gt;"",'Pasted_Exports'!AZ8,'File_Intake'!AZ8)</f>
        <v/>
      </c>
      <c r="BA8" s="47">
        <f>IF('Pasted_Exports'!BA8&lt;&gt;"",'Pasted_Exports'!BA8,'File_Intake'!BA8)</f>
        <v/>
      </c>
      <c r="BB8" s="47">
        <f>IF('Pasted_Exports'!BB8&lt;&gt;"",'Pasted_Exports'!BB8,'File_Intake'!BB8)</f>
        <v/>
      </c>
      <c r="BC8" s="27">
        <f>IF('Pasted_Exports'!BC8&lt;&gt;"",'Pasted_Exports'!BC8,'File_Intake'!BC8)</f>
        <v/>
      </c>
      <c r="BD8" s="27">
        <f>IF('Pasted_Exports'!BD8&lt;&gt;"",'Pasted_Exports'!BD8,'File_Intake'!BD8)</f>
        <v/>
      </c>
      <c r="BE8" s="27">
        <f>IF('Pasted_Exports'!BE8&lt;&gt;"",'Pasted_Exports'!BE8,'File_Intake'!BE8)</f>
        <v/>
      </c>
      <c r="BF8" s="47">
        <f>IF('Pasted_Exports'!BF8&lt;&gt;"",'Pasted_Exports'!BF8,'File_Intake'!BF8)</f>
        <v/>
      </c>
      <c r="BG8" s="47">
        <f>IF('Pasted_Exports'!BG8&lt;&gt;"",'Pasted_Exports'!BG8,'File_Intake'!BG8)</f>
        <v/>
      </c>
      <c r="BH8" s="47">
        <f>IF('Pasted_Exports'!BH8&lt;&gt;"",'Pasted_Exports'!BH8,'File_Intake'!BH8)</f>
        <v/>
      </c>
      <c r="BI8" s="47">
        <f>IF('Pasted_Exports'!BI8&lt;&gt;"",'Pasted_Exports'!BI8,'File_Intake'!BI8)</f>
        <v/>
      </c>
      <c r="BJ8" s="47">
        <f>IF('Pasted_Exports'!BJ8&lt;&gt;"",'Pasted_Exports'!BJ8,'File_Intake'!BJ8)</f>
        <v/>
      </c>
      <c r="BK8" s="47">
        <f>IF('Pasted_Exports'!BK8&lt;&gt;"",'Pasted_Exports'!BK8,'File_Intake'!BK8)</f>
        <v/>
      </c>
      <c r="BL8" s="47">
        <f>IF('Pasted_Exports'!BL8&lt;&gt;"",'Pasted_Exports'!BL8,'File_Intake'!BL8)</f>
        <v/>
      </c>
      <c r="BM8" s="47">
        <f>IF('Pasted_Exports'!BM8&lt;&gt;"",'Pasted_Exports'!BM8,'File_Intake'!BM8)</f>
        <v/>
      </c>
      <c r="BN8" s="47">
        <f>IF('Pasted_Exports'!BN8&lt;&gt;"",'Pasted_Exports'!BN8,'File_Intake'!BN8)</f>
        <v/>
      </c>
      <c r="BO8" s="47">
        <f>IF('Pasted_Exports'!BO8&lt;&gt;"",'Pasted_Exports'!BO8,'File_Intake'!BO8)</f>
        <v/>
      </c>
      <c r="BP8" s="47">
        <f>IF('Pasted_Exports'!BP8&lt;&gt;"",'Pasted_Exports'!BP8,'File_Intake'!BP8)</f>
        <v/>
      </c>
      <c r="BQ8" s="47">
        <f>IF('Pasted_Exports'!BQ8&lt;&gt;"",'Pasted_Exports'!BQ8,'File_Intake'!BQ8)</f>
        <v/>
      </c>
      <c r="BR8" s="47">
        <f>IF('Pasted_Exports'!BR8&lt;&gt;"",'Pasted_Exports'!BR8,'File_Intake'!BR8)</f>
        <v/>
      </c>
      <c r="BS8" s="47">
        <f>IF('Pasted_Exports'!BS8&lt;&gt;"",'Pasted_Exports'!BS8,'File_Intake'!BS8)</f>
        <v/>
      </c>
      <c r="BT8" s="47">
        <f>IF('Pasted_Exports'!BT8&lt;&gt;"",'Pasted_Exports'!BT8,'File_Intake'!BT8)</f>
        <v/>
      </c>
      <c r="BU8" s="47">
        <f>IF('Pasted_Exports'!BU8&lt;&gt;"",'Pasted_Exports'!BU8,'File_Intake'!BU8)</f>
        <v/>
      </c>
      <c r="BV8" s="47">
        <f>IF('Pasted_Exports'!BV8&lt;&gt;"",'Pasted_Exports'!BV8,'File_Intake'!BV8)</f>
        <v/>
      </c>
      <c r="BW8" s="47">
        <f>IF('Pasted_Exports'!BW8&lt;&gt;"",'Pasted_Exports'!BW8,'File_Intake'!BW8)</f>
        <v/>
      </c>
      <c r="BX8" s="29">
        <f>IF(AND($A8&lt;&gt;"",$B8&lt;&gt;"",$K8&gt;='Study_Setup'!$B$14,$L8&gt;='Study_Setup'!$B$15),1,0)</f>
        <v/>
      </c>
      <c r="BY8" s="30">
        <f>IF($A8="","",TEXTJOIN("; ",TRUE,IF($B8="","Missing arm",""),IF($K8&lt;'Study_Setup'!$B$14,"Low off-days",""),IF($L8&lt;'Study_Setup'!$B$15,"Low on-days",""),IF($AM8&gt;'Study_Setup'!$B$19,"Hypo burden increased","")))</f>
        <v/>
      </c>
      <c r="BZ8" s="61">
        <f>IFERROR($M8-$N8,"")</f>
        <v/>
      </c>
      <c r="CA8" s="62">
        <f>IFERROR(($M8-$N8)/$M8,"")</f>
        <v/>
      </c>
      <c r="CB8" s="33">
        <f>IFERROR($P8-$Q8,"")</f>
        <v/>
      </c>
      <c r="CC8" s="63">
        <f>IFERROR($T8-$S8,"")</f>
        <v/>
      </c>
      <c r="CD8" s="33">
        <f>IFERROR($AH8-$AI8,"")</f>
        <v/>
      </c>
      <c r="CE8" s="62">
        <f>IFERROR(($AH8-$AI8)/$AH8,"")</f>
        <v/>
      </c>
      <c r="CF8" s="33">
        <f>IFERROR($AQ8-$AR8,"")</f>
        <v/>
      </c>
      <c r="CG8" s="61">
        <f>IFERROR($BO8-$BP8,"")</f>
        <v/>
      </c>
      <c r="CH8" s="61">
        <f>IFERROR($BI8-$BJ8,"")</f>
        <v/>
      </c>
      <c r="CI8" s="61">
        <f>IFERROR($BL8-$BM8,"")</f>
        <v/>
      </c>
      <c r="CJ8" s="61">
        <f>IFERROR($BF8-$BG8,"")</f>
        <v/>
      </c>
      <c r="CK8" s="33">
        <f>IFERROR($BC8-$BD8,"")</f>
        <v/>
      </c>
      <c r="CL8" s="29">
        <f>IF($A8="","",IF($AM8&lt;='Study_Setup'!$B$19,1,0))</f>
        <v/>
      </c>
      <c r="CM8" s="29">
        <f>IF($A8="","",IF(AND($BZ8&gt;='Study_Setup'!$B$16,$CC8&gt;='Study_Setup'!$B$17,$CE8&gt;='Study_Setup'!$B$18,$CL8=1),1,0))</f>
        <v/>
      </c>
      <c r="CN8" s="61">
        <f>IFERROR(40*MIN(1,$BZ8/'Study_Setup'!$B$16)+25*MIN(1,$CC8/'Study_Setup'!$B$17)+25*MIN(1,$CE8/'Study_Setup'!$B$18)+10*$CL8,"")</f>
        <v/>
      </c>
      <c r="CO8">
        <f>IF('Pasted_Exports'!BX8&lt;&gt;"",'Pasted_Exports'!BX8,'File_Intake'!BX8)</f>
        <v/>
      </c>
      <c r="CP8" s="57">
        <f>IF('Pasted_Exports'!BY8&lt;&gt;"",'Pasted_Exports'!BY8,'File_Intake'!BY8)</f>
        <v/>
      </c>
      <c r="CQ8" s="57">
        <f>IF('Pasted_Exports'!BZ8&lt;&gt;"",'Pasted_Exports'!BZ8,'File_Intake'!BZ8)</f>
        <v/>
      </c>
      <c r="CR8" s="57">
        <f>IF('Pasted_Exports'!CA8&lt;&gt;"",'Pasted_Exports'!CA8,'File_Intake'!CA8)</f>
        <v/>
      </c>
      <c r="CS8" s="58">
        <f>IF('Pasted_Exports'!CB8&lt;&gt;"",'Pasted_Exports'!CB8,'File_Intake'!CB8)</f>
        <v/>
      </c>
      <c r="CT8" s="59">
        <f>IF('Pasted_Exports'!CC8&lt;&gt;"",'Pasted_Exports'!CC8,'File_Intake'!CC8)</f>
        <v/>
      </c>
      <c r="CU8">
        <f>IF('Pasted_Exports'!CD8&lt;&gt;"",'Pasted_Exports'!CD8,'File_Intake'!CD8)</f>
        <v/>
      </c>
      <c r="CV8">
        <f>IF('Pasted_Exports'!CE8&lt;&gt;"",'Pasted_Exports'!CE8,'File_Intake'!CE8)</f>
        <v/>
      </c>
      <c r="CW8" s="60">
        <f>IF('Pasted_Exports'!CF8&lt;&gt;"",'Pasted_Exports'!CF8,'File_Intake'!CF8)</f>
        <v/>
      </c>
      <c r="CX8" s="60">
        <f>IF('Pasted_Exports'!CG8&lt;&gt;"",'Pasted_Exports'!CG8,'File_Intake'!CG8)</f>
        <v/>
      </c>
      <c r="CY8">
        <f>IF('Pasted_Exports'!CH8&lt;&gt;"",'Pasted_Exports'!CH8,'File_Intake'!CH8)</f>
        <v/>
      </c>
    </row>
    <row r="9">
      <c r="A9" s="24">
        <f>IF('Pasted_Exports'!A9&lt;&gt;"",'Pasted_Exports'!A9,'File_Intake'!A9)</f>
        <v/>
      </c>
      <c r="B9" s="24">
        <f>IF('Pasted_Exports'!B9&lt;&gt;"",'Pasted_Exports'!B9,'File_Intake'!B9)</f>
        <v/>
      </c>
      <c r="C9" s="24">
        <f>IF('Pasted_Exports'!C9&lt;&gt;"",'Pasted_Exports'!C9,'File_Intake'!C9)</f>
        <v/>
      </c>
      <c r="D9" s="24">
        <f>IF('Pasted_Exports'!D9&lt;&gt;"",'Pasted_Exports'!D9,'File_Intake'!D9)</f>
        <v/>
      </c>
      <c r="E9" s="55">
        <f>IF('Pasted_Exports'!E9&lt;&gt;"",'Pasted_Exports'!E9,'File_Intake'!E9)</f>
        <v/>
      </c>
      <c r="F9" s="26">
        <f>IF('Pasted_Exports'!F9&lt;&gt;"",'Pasted_Exports'!F9,'File_Intake'!F9)</f>
        <v/>
      </c>
      <c r="G9" s="26">
        <f>IF('Pasted_Exports'!G9&lt;&gt;"",'Pasted_Exports'!G9,'File_Intake'!G9)</f>
        <v/>
      </c>
      <c r="H9" s="47">
        <f>IF('Pasted_Exports'!H9&lt;&gt;"",'Pasted_Exports'!H9,'File_Intake'!H9)</f>
        <v/>
      </c>
      <c r="I9" s="26">
        <f>IF('Pasted_Exports'!I9&lt;&gt;"",'Pasted_Exports'!I9,'File_Intake'!I9)</f>
        <v/>
      </c>
      <c r="J9" s="26">
        <f>IF('Pasted_Exports'!J9&lt;&gt;"",'Pasted_Exports'!J9,'File_Intake'!J9)</f>
        <v/>
      </c>
      <c r="K9" s="47">
        <f>IF('Pasted_Exports'!K9&lt;&gt;"",'Pasted_Exports'!K9,'File_Intake'!K9)</f>
        <v/>
      </c>
      <c r="L9" s="47">
        <f>IF('Pasted_Exports'!L9&lt;&gt;"",'Pasted_Exports'!L9,'File_Intake'!L9)</f>
        <v/>
      </c>
      <c r="M9" s="47">
        <f>IF('Pasted_Exports'!M9&lt;&gt;"",'Pasted_Exports'!M9,'File_Intake'!M9)</f>
        <v/>
      </c>
      <c r="N9" s="47">
        <f>IF('Pasted_Exports'!N9&lt;&gt;"",'Pasted_Exports'!N9,'File_Intake'!N9)</f>
        <v/>
      </c>
      <c r="O9" s="47">
        <f>IF('Pasted_Exports'!O9&lt;&gt;"",'Pasted_Exports'!O9,'File_Intake'!O9)</f>
        <v/>
      </c>
      <c r="P9" s="27">
        <f>IF('Pasted_Exports'!P9&lt;&gt;"",'Pasted_Exports'!P9,'File_Intake'!P9)</f>
        <v/>
      </c>
      <c r="Q9" s="27">
        <f>IF('Pasted_Exports'!Q9&lt;&gt;"",'Pasted_Exports'!Q9,'File_Intake'!Q9)</f>
        <v/>
      </c>
      <c r="R9" s="27">
        <f>IF('Pasted_Exports'!R9&lt;&gt;"",'Pasted_Exports'!R9,'File_Intake'!R9)</f>
        <v/>
      </c>
      <c r="S9" s="56">
        <f>IF('Pasted_Exports'!S9&lt;&gt;"",'Pasted_Exports'!S9,'File_Intake'!S9)</f>
        <v/>
      </c>
      <c r="T9" s="56">
        <f>IF('Pasted_Exports'!T9&lt;&gt;"",'Pasted_Exports'!T9,'File_Intake'!T9)</f>
        <v/>
      </c>
      <c r="U9" s="56">
        <f>IF('Pasted_Exports'!U9&lt;&gt;"",'Pasted_Exports'!U9,'File_Intake'!U9)</f>
        <v/>
      </c>
      <c r="V9" s="56">
        <f>IF('Pasted_Exports'!V9&lt;&gt;"",'Pasted_Exports'!V9,'File_Intake'!V9)</f>
        <v/>
      </c>
      <c r="W9" s="56">
        <f>IF('Pasted_Exports'!W9&lt;&gt;"",'Pasted_Exports'!W9,'File_Intake'!W9)</f>
        <v/>
      </c>
      <c r="X9" s="56">
        <f>IF('Pasted_Exports'!X9&lt;&gt;"",'Pasted_Exports'!X9,'File_Intake'!X9)</f>
        <v/>
      </c>
      <c r="Y9" s="56">
        <f>IF('Pasted_Exports'!Y9&lt;&gt;"",'Pasted_Exports'!Y9,'File_Intake'!Y9)</f>
        <v/>
      </c>
      <c r="Z9" s="56">
        <f>IF('Pasted_Exports'!Z9&lt;&gt;"",'Pasted_Exports'!Z9,'File_Intake'!Z9)</f>
        <v/>
      </c>
      <c r="AA9" s="56">
        <f>IF('Pasted_Exports'!AA9&lt;&gt;"",'Pasted_Exports'!AA9,'File_Intake'!AA9)</f>
        <v/>
      </c>
      <c r="AB9" s="56">
        <f>IF('Pasted_Exports'!AB9&lt;&gt;"",'Pasted_Exports'!AB9,'File_Intake'!AB9)</f>
        <v/>
      </c>
      <c r="AC9" s="56">
        <f>IF('Pasted_Exports'!AC9&lt;&gt;"",'Pasted_Exports'!AC9,'File_Intake'!AC9)</f>
        <v/>
      </c>
      <c r="AD9" s="56">
        <f>IF('Pasted_Exports'!AD9&lt;&gt;"",'Pasted_Exports'!AD9,'File_Intake'!AD9)</f>
        <v/>
      </c>
      <c r="AE9" s="56">
        <f>IF('Pasted_Exports'!AE9&lt;&gt;"",'Pasted_Exports'!AE9,'File_Intake'!AE9)</f>
        <v/>
      </c>
      <c r="AF9" s="56">
        <f>IF('Pasted_Exports'!AF9&lt;&gt;"",'Pasted_Exports'!AF9,'File_Intake'!AF9)</f>
        <v/>
      </c>
      <c r="AG9" s="56">
        <f>IF('Pasted_Exports'!AG9&lt;&gt;"",'Pasted_Exports'!AG9,'File_Intake'!AG9)</f>
        <v/>
      </c>
      <c r="AH9" s="27">
        <f>IF('Pasted_Exports'!AH9&lt;&gt;"",'Pasted_Exports'!AH9,'File_Intake'!AH9)</f>
        <v/>
      </c>
      <c r="AI9" s="27">
        <f>IF('Pasted_Exports'!AI9&lt;&gt;"",'Pasted_Exports'!AI9,'File_Intake'!AI9)</f>
        <v/>
      </c>
      <c r="AJ9" s="27">
        <f>IF('Pasted_Exports'!AJ9&lt;&gt;"",'Pasted_Exports'!AJ9,'File_Intake'!AJ9)</f>
        <v/>
      </c>
      <c r="AK9" s="27">
        <f>IF('Pasted_Exports'!AK9&lt;&gt;"",'Pasted_Exports'!AK9,'File_Intake'!AK9)</f>
        <v/>
      </c>
      <c r="AL9" s="27">
        <f>IF('Pasted_Exports'!AL9&lt;&gt;"",'Pasted_Exports'!AL9,'File_Intake'!AL9)</f>
        <v/>
      </c>
      <c r="AM9" s="27">
        <f>IF('Pasted_Exports'!AM9&lt;&gt;"",'Pasted_Exports'!AM9,'File_Intake'!AM9)</f>
        <v/>
      </c>
      <c r="AN9" s="27">
        <f>IF('Pasted_Exports'!AN9&lt;&gt;"",'Pasted_Exports'!AN9,'File_Intake'!AN9)</f>
        <v/>
      </c>
      <c r="AO9" s="27">
        <f>IF('Pasted_Exports'!AO9&lt;&gt;"",'Pasted_Exports'!AO9,'File_Intake'!AO9)</f>
        <v/>
      </c>
      <c r="AP9" s="27">
        <f>IF('Pasted_Exports'!AP9&lt;&gt;"",'Pasted_Exports'!AP9,'File_Intake'!AP9)</f>
        <v/>
      </c>
      <c r="AQ9" s="27">
        <f>IF('Pasted_Exports'!AQ9&lt;&gt;"",'Pasted_Exports'!AQ9,'File_Intake'!AQ9)</f>
        <v/>
      </c>
      <c r="AR9" s="27">
        <f>IF('Pasted_Exports'!AR9&lt;&gt;"",'Pasted_Exports'!AR9,'File_Intake'!AR9)</f>
        <v/>
      </c>
      <c r="AS9" s="27">
        <f>IF('Pasted_Exports'!AS9&lt;&gt;"",'Pasted_Exports'!AS9,'File_Intake'!AS9)</f>
        <v/>
      </c>
      <c r="AT9" s="47">
        <f>IF('Pasted_Exports'!AT9&lt;&gt;"",'Pasted_Exports'!AT9,'File_Intake'!AT9)</f>
        <v/>
      </c>
      <c r="AU9" s="47">
        <f>IF('Pasted_Exports'!AU9&lt;&gt;"",'Pasted_Exports'!AU9,'File_Intake'!AU9)</f>
        <v/>
      </c>
      <c r="AV9" s="47">
        <f>IF('Pasted_Exports'!AV9&lt;&gt;"",'Pasted_Exports'!AV9,'File_Intake'!AV9)</f>
        <v/>
      </c>
      <c r="AW9" s="56">
        <f>IF('Pasted_Exports'!AW9&lt;&gt;"",'Pasted_Exports'!AW9,'File_Intake'!AW9)</f>
        <v/>
      </c>
      <c r="AX9" s="56">
        <f>IF('Pasted_Exports'!AX9&lt;&gt;"",'Pasted_Exports'!AX9,'File_Intake'!AX9)</f>
        <v/>
      </c>
      <c r="AY9" s="56">
        <f>IF('Pasted_Exports'!AY9&lt;&gt;"",'Pasted_Exports'!AY9,'File_Intake'!AY9)</f>
        <v/>
      </c>
      <c r="AZ9" s="47">
        <f>IF('Pasted_Exports'!AZ9&lt;&gt;"",'Pasted_Exports'!AZ9,'File_Intake'!AZ9)</f>
        <v/>
      </c>
      <c r="BA9" s="47">
        <f>IF('Pasted_Exports'!BA9&lt;&gt;"",'Pasted_Exports'!BA9,'File_Intake'!BA9)</f>
        <v/>
      </c>
      <c r="BB9" s="47">
        <f>IF('Pasted_Exports'!BB9&lt;&gt;"",'Pasted_Exports'!BB9,'File_Intake'!BB9)</f>
        <v/>
      </c>
      <c r="BC9" s="27">
        <f>IF('Pasted_Exports'!BC9&lt;&gt;"",'Pasted_Exports'!BC9,'File_Intake'!BC9)</f>
        <v/>
      </c>
      <c r="BD9" s="27">
        <f>IF('Pasted_Exports'!BD9&lt;&gt;"",'Pasted_Exports'!BD9,'File_Intake'!BD9)</f>
        <v/>
      </c>
      <c r="BE9" s="27">
        <f>IF('Pasted_Exports'!BE9&lt;&gt;"",'Pasted_Exports'!BE9,'File_Intake'!BE9)</f>
        <v/>
      </c>
      <c r="BF9" s="47">
        <f>IF('Pasted_Exports'!BF9&lt;&gt;"",'Pasted_Exports'!BF9,'File_Intake'!BF9)</f>
        <v/>
      </c>
      <c r="BG9" s="47">
        <f>IF('Pasted_Exports'!BG9&lt;&gt;"",'Pasted_Exports'!BG9,'File_Intake'!BG9)</f>
        <v/>
      </c>
      <c r="BH9" s="47">
        <f>IF('Pasted_Exports'!BH9&lt;&gt;"",'Pasted_Exports'!BH9,'File_Intake'!BH9)</f>
        <v/>
      </c>
      <c r="BI9" s="47">
        <f>IF('Pasted_Exports'!BI9&lt;&gt;"",'Pasted_Exports'!BI9,'File_Intake'!BI9)</f>
        <v/>
      </c>
      <c r="BJ9" s="47">
        <f>IF('Pasted_Exports'!BJ9&lt;&gt;"",'Pasted_Exports'!BJ9,'File_Intake'!BJ9)</f>
        <v/>
      </c>
      <c r="BK9" s="47">
        <f>IF('Pasted_Exports'!BK9&lt;&gt;"",'Pasted_Exports'!BK9,'File_Intake'!BK9)</f>
        <v/>
      </c>
      <c r="BL9" s="47">
        <f>IF('Pasted_Exports'!BL9&lt;&gt;"",'Pasted_Exports'!BL9,'File_Intake'!BL9)</f>
        <v/>
      </c>
      <c r="BM9" s="47">
        <f>IF('Pasted_Exports'!BM9&lt;&gt;"",'Pasted_Exports'!BM9,'File_Intake'!BM9)</f>
        <v/>
      </c>
      <c r="BN9" s="47">
        <f>IF('Pasted_Exports'!BN9&lt;&gt;"",'Pasted_Exports'!BN9,'File_Intake'!BN9)</f>
        <v/>
      </c>
      <c r="BO9" s="47">
        <f>IF('Pasted_Exports'!BO9&lt;&gt;"",'Pasted_Exports'!BO9,'File_Intake'!BO9)</f>
        <v/>
      </c>
      <c r="BP9" s="47">
        <f>IF('Pasted_Exports'!BP9&lt;&gt;"",'Pasted_Exports'!BP9,'File_Intake'!BP9)</f>
        <v/>
      </c>
      <c r="BQ9" s="47">
        <f>IF('Pasted_Exports'!BQ9&lt;&gt;"",'Pasted_Exports'!BQ9,'File_Intake'!BQ9)</f>
        <v/>
      </c>
      <c r="BR9" s="47">
        <f>IF('Pasted_Exports'!BR9&lt;&gt;"",'Pasted_Exports'!BR9,'File_Intake'!BR9)</f>
        <v/>
      </c>
      <c r="BS9" s="47">
        <f>IF('Pasted_Exports'!BS9&lt;&gt;"",'Pasted_Exports'!BS9,'File_Intake'!BS9)</f>
        <v/>
      </c>
      <c r="BT9" s="47">
        <f>IF('Pasted_Exports'!BT9&lt;&gt;"",'Pasted_Exports'!BT9,'File_Intake'!BT9)</f>
        <v/>
      </c>
      <c r="BU9" s="47">
        <f>IF('Pasted_Exports'!BU9&lt;&gt;"",'Pasted_Exports'!BU9,'File_Intake'!BU9)</f>
        <v/>
      </c>
      <c r="BV9" s="47">
        <f>IF('Pasted_Exports'!BV9&lt;&gt;"",'Pasted_Exports'!BV9,'File_Intake'!BV9)</f>
        <v/>
      </c>
      <c r="BW9" s="47">
        <f>IF('Pasted_Exports'!BW9&lt;&gt;"",'Pasted_Exports'!BW9,'File_Intake'!BW9)</f>
        <v/>
      </c>
      <c r="BX9" s="29">
        <f>IF(AND($A9&lt;&gt;"",$B9&lt;&gt;"",$K9&gt;='Study_Setup'!$B$14,$L9&gt;='Study_Setup'!$B$15),1,0)</f>
        <v/>
      </c>
      <c r="BY9" s="30">
        <f>IF($A9="","",TEXTJOIN("; ",TRUE,IF($B9="","Missing arm",""),IF($K9&lt;'Study_Setup'!$B$14,"Low off-days",""),IF($L9&lt;'Study_Setup'!$B$15,"Low on-days",""),IF($AM9&gt;'Study_Setup'!$B$19,"Hypo burden increased","")))</f>
        <v/>
      </c>
      <c r="BZ9" s="61">
        <f>IFERROR($M9-$N9,"")</f>
        <v/>
      </c>
      <c r="CA9" s="62">
        <f>IFERROR(($M9-$N9)/$M9,"")</f>
        <v/>
      </c>
      <c r="CB9" s="33">
        <f>IFERROR($P9-$Q9,"")</f>
        <v/>
      </c>
      <c r="CC9" s="63">
        <f>IFERROR($T9-$S9,"")</f>
        <v/>
      </c>
      <c r="CD9" s="33">
        <f>IFERROR($AH9-$AI9,"")</f>
        <v/>
      </c>
      <c r="CE9" s="62">
        <f>IFERROR(($AH9-$AI9)/$AH9,"")</f>
        <v/>
      </c>
      <c r="CF9" s="33">
        <f>IFERROR($AQ9-$AR9,"")</f>
        <v/>
      </c>
      <c r="CG9" s="61">
        <f>IFERROR($BO9-$BP9,"")</f>
        <v/>
      </c>
      <c r="CH9" s="61">
        <f>IFERROR($BI9-$BJ9,"")</f>
        <v/>
      </c>
      <c r="CI9" s="61">
        <f>IFERROR($BL9-$BM9,"")</f>
        <v/>
      </c>
      <c r="CJ9" s="61">
        <f>IFERROR($BF9-$BG9,"")</f>
        <v/>
      </c>
      <c r="CK9" s="33">
        <f>IFERROR($BC9-$BD9,"")</f>
        <v/>
      </c>
      <c r="CL9" s="29">
        <f>IF($A9="","",IF($AM9&lt;='Study_Setup'!$B$19,1,0))</f>
        <v/>
      </c>
      <c r="CM9" s="29">
        <f>IF($A9="","",IF(AND($BZ9&gt;='Study_Setup'!$B$16,$CC9&gt;='Study_Setup'!$B$17,$CE9&gt;='Study_Setup'!$B$18,$CL9=1),1,0))</f>
        <v/>
      </c>
      <c r="CN9" s="61">
        <f>IFERROR(40*MIN(1,$BZ9/'Study_Setup'!$B$16)+25*MIN(1,$CC9/'Study_Setup'!$B$17)+25*MIN(1,$CE9/'Study_Setup'!$B$18)+10*$CL9,"")</f>
        <v/>
      </c>
      <c r="CO9">
        <f>IF('Pasted_Exports'!BX9&lt;&gt;"",'Pasted_Exports'!BX9,'File_Intake'!BX9)</f>
        <v/>
      </c>
      <c r="CP9" s="57">
        <f>IF('Pasted_Exports'!BY9&lt;&gt;"",'Pasted_Exports'!BY9,'File_Intake'!BY9)</f>
        <v/>
      </c>
      <c r="CQ9" s="57">
        <f>IF('Pasted_Exports'!BZ9&lt;&gt;"",'Pasted_Exports'!BZ9,'File_Intake'!BZ9)</f>
        <v/>
      </c>
      <c r="CR9" s="57">
        <f>IF('Pasted_Exports'!CA9&lt;&gt;"",'Pasted_Exports'!CA9,'File_Intake'!CA9)</f>
        <v/>
      </c>
      <c r="CS9" s="58">
        <f>IF('Pasted_Exports'!CB9&lt;&gt;"",'Pasted_Exports'!CB9,'File_Intake'!CB9)</f>
        <v/>
      </c>
      <c r="CT9" s="59">
        <f>IF('Pasted_Exports'!CC9&lt;&gt;"",'Pasted_Exports'!CC9,'File_Intake'!CC9)</f>
        <v/>
      </c>
      <c r="CU9">
        <f>IF('Pasted_Exports'!CD9&lt;&gt;"",'Pasted_Exports'!CD9,'File_Intake'!CD9)</f>
        <v/>
      </c>
      <c r="CV9">
        <f>IF('Pasted_Exports'!CE9&lt;&gt;"",'Pasted_Exports'!CE9,'File_Intake'!CE9)</f>
        <v/>
      </c>
      <c r="CW9" s="60">
        <f>IF('Pasted_Exports'!CF9&lt;&gt;"",'Pasted_Exports'!CF9,'File_Intake'!CF9)</f>
        <v/>
      </c>
      <c r="CX9" s="60">
        <f>IF('Pasted_Exports'!CG9&lt;&gt;"",'Pasted_Exports'!CG9,'File_Intake'!CG9)</f>
        <v/>
      </c>
      <c r="CY9">
        <f>IF('Pasted_Exports'!CH9&lt;&gt;"",'Pasted_Exports'!CH9,'File_Intake'!CH9)</f>
        <v/>
      </c>
    </row>
    <row r="10">
      <c r="A10" s="24">
        <f>IF('Pasted_Exports'!A10&lt;&gt;"",'Pasted_Exports'!A10,'File_Intake'!A10)</f>
        <v/>
      </c>
      <c r="B10" s="24">
        <f>IF('Pasted_Exports'!B10&lt;&gt;"",'Pasted_Exports'!B10,'File_Intake'!B10)</f>
        <v/>
      </c>
      <c r="C10" s="24">
        <f>IF('Pasted_Exports'!C10&lt;&gt;"",'Pasted_Exports'!C10,'File_Intake'!C10)</f>
        <v/>
      </c>
      <c r="D10" s="24">
        <f>IF('Pasted_Exports'!D10&lt;&gt;"",'Pasted_Exports'!D10,'File_Intake'!D10)</f>
        <v/>
      </c>
      <c r="E10" s="55">
        <f>IF('Pasted_Exports'!E10&lt;&gt;"",'Pasted_Exports'!E10,'File_Intake'!E10)</f>
        <v/>
      </c>
      <c r="F10" s="26">
        <f>IF('Pasted_Exports'!F10&lt;&gt;"",'Pasted_Exports'!F10,'File_Intake'!F10)</f>
        <v/>
      </c>
      <c r="G10" s="26">
        <f>IF('Pasted_Exports'!G10&lt;&gt;"",'Pasted_Exports'!G10,'File_Intake'!G10)</f>
        <v/>
      </c>
      <c r="H10" s="47">
        <f>IF('Pasted_Exports'!H10&lt;&gt;"",'Pasted_Exports'!H10,'File_Intake'!H10)</f>
        <v/>
      </c>
      <c r="I10" s="26">
        <f>IF('Pasted_Exports'!I10&lt;&gt;"",'Pasted_Exports'!I10,'File_Intake'!I10)</f>
        <v/>
      </c>
      <c r="J10" s="26">
        <f>IF('Pasted_Exports'!J10&lt;&gt;"",'Pasted_Exports'!J10,'File_Intake'!J10)</f>
        <v/>
      </c>
      <c r="K10" s="47">
        <f>IF('Pasted_Exports'!K10&lt;&gt;"",'Pasted_Exports'!K10,'File_Intake'!K10)</f>
        <v/>
      </c>
      <c r="L10" s="47">
        <f>IF('Pasted_Exports'!L10&lt;&gt;"",'Pasted_Exports'!L10,'File_Intake'!L10)</f>
        <v/>
      </c>
      <c r="M10" s="47">
        <f>IF('Pasted_Exports'!M10&lt;&gt;"",'Pasted_Exports'!M10,'File_Intake'!M10)</f>
        <v/>
      </c>
      <c r="N10" s="47">
        <f>IF('Pasted_Exports'!N10&lt;&gt;"",'Pasted_Exports'!N10,'File_Intake'!N10)</f>
        <v/>
      </c>
      <c r="O10" s="47">
        <f>IF('Pasted_Exports'!O10&lt;&gt;"",'Pasted_Exports'!O10,'File_Intake'!O10)</f>
        <v/>
      </c>
      <c r="P10" s="27">
        <f>IF('Pasted_Exports'!P10&lt;&gt;"",'Pasted_Exports'!P10,'File_Intake'!P10)</f>
        <v/>
      </c>
      <c r="Q10" s="27">
        <f>IF('Pasted_Exports'!Q10&lt;&gt;"",'Pasted_Exports'!Q10,'File_Intake'!Q10)</f>
        <v/>
      </c>
      <c r="R10" s="27">
        <f>IF('Pasted_Exports'!R10&lt;&gt;"",'Pasted_Exports'!R10,'File_Intake'!R10)</f>
        <v/>
      </c>
      <c r="S10" s="56">
        <f>IF('Pasted_Exports'!S10&lt;&gt;"",'Pasted_Exports'!S10,'File_Intake'!S10)</f>
        <v/>
      </c>
      <c r="T10" s="56">
        <f>IF('Pasted_Exports'!T10&lt;&gt;"",'Pasted_Exports'!T10,'File_Intake'!T10)</f>
        <v/>
      </c>
      <c r="U10" s="56">
        <f>IF('Pasted_Exports'!U10&lt;&gt;"",'Pasted_Exports'!U10,'File_Intake'!U10)</f>
        <v/>
      </c>
      <c r="V10" s="56">
        <f>IF('Pasted_Exports'!V10&lt;&gt;"",'Pasted_Exports'!V10,'File_Intake'!V10)</f>
        <v/>
      </c>
      <c r="W10" s="56">
        <f>IF('Pasted_Exports'!W10&lt;&gt;"",'Pasted_Exports'!W10,'File_Intake'!W10)</f>
        <v/>
      </c>
      <c r="X10" s="56">
        <f>IF('Pasted_Exports'!X10&lt;&gt;"",'Pasted_Exports'!X10,'File_Intake'!X10)</f>
        <v/>
      </c>
      <c r="Y10" s="56">
        <f>IF('Pasted_Exports'!Y10&lt;&gt;"",'Pasted_Exports'!Y10,'File_Intake'!Y10)</f>
        <v/>
      </c>
      <c r="Z10" s="56">
        <f>IF('Pasted_Exports'!Z10&lt;&gt;"",'Pasted_Exports'!Z10,'File_Intake'!Z10)</f>
        <v/>
      </c>
      <c r="AA10" s="56">
        <f>IF('Pasted_Exports'!AA10&lt;&gt;"",'Pasted_Exports'!AA10,'File_Intake'!AA10)</f>
        <v/>
      </c>
      <c r="AB10" s="56">
        <f>IF('Pasted_Exports'!AB10&lt;&gt;"",'Pasted_Exports'!AB10,'File_Intake'!AB10)</f>
        <v/>
      </c>
      <c r="AC10" s="56">
        <f>IF('Pasted_Exports'!AC10&lt;&gt;"",'Pasted_Exports'!AC10,'File_Intake'!AC10)</f>
        <v/>
      </c>
      <c r="AD10" s="56">
        <f>IF('Pasted_Exports'!AD10&lt;&gt;"",'Pasted_Exports'!AD10,'File_Intake'!AD10)</f>
        <v/>
      </c>
      <c r="AE10" s="56">
        <f>IF('Pasted_Exports'!AE10&lt;&gt;"",'Pasted_Exports'!AE10,'File_Intake'!AE10)</f>
        <v/>
      </c>
      <c r="AF10" s="56">
        <f>IF('Pasted_Exports'!AF10&lt;&gt;"",'Pasted_Exports'!AF10,'File_Intake'!AF10)</f>
        <v/>
      </c>
      <c r="AG10" s="56">
        <f>IF('Pasted_Exports'!AG10&lt;&gt;"",'Pasted_Exports'!AG10,'File_Intake'!AG10)</f>
        <v/>
      </c>
      <c r="AH10" s="27">
        <f>IF('Pasted_Exports'!AH10&lt;&gt;"",'Pasted_Exports'!AH10,'File_Intake'!AH10)</f>
        <v/>
      </c>
      <c r="AI10" s="27">
        <f>IF('Pasted_Exports'!AI10&lt;&gt;"",'Pasted_Exports'!AI10,'File_Intake'!AI10)</f>
        <v/>
      </c>
      <c r="AJ10" s="27">
        <f>IF('Pasted_Exports'!AJ10&lt;&gt;"",'Pasted_Exports'!AJ10,'File_Intake'!AJ10)</f>
        <v/>
      </c>
      <c r="AK10" s="27">
        <f>IF('Pasted_Exports'!AK10&lt;&gt;"",'Pasted_Exports'!AK10,'File_Intake'!AK10)</f>
        <v/>
      </c>
      <c r="AL10" s="27">
        <f>IF('Pasted_Exports'!AL10&lt;&gt;"",'Pasted_Exports'!AL10,'File_Intake'!AL10)</f>
        <v/>
      </c>
      <c r="AM10" s="27">
        <f>IF('Pasted_Exports'!AM10&lt;&gt;"",'Pasted_Exports'!AM10,'File_Intake'!AM10)</f>
        <v/>
      </c>
      <c r="AN10" s="27">
        <f>IF('Pasted_Exports'!AN10&lt;&gt;"",'Pasted_Exports'!AN10,'File_Intake'!AN10)</f>
        <v/>
      </c>
      <c r="AO10" s="27">
        <f>IF('Pasted_Exports'!AO10&lt;&gt;"",'Pasted_Exports'!AO10,'File_Intake'!AO10)</f>
        <v/>
      </c>
      <c r="AP10" s="27">
        <f>IF('Pasted_Exports'!AP10&lt;&gt;"",'Pasted_Exports'!AP10,'File_Intake'!AP10)</f>
        <v/>
      </c>
      <c r="AQ10" s="27">
        <f>IF('Pasted_Exports'!AQ10&lt;&gt;"",'Pasted_Exports'!AQ10,'File_Intake'!AQ10)</f>
        <v/>
      </c>
      <c r="AR10" s="27">
        <f>IF('Pasted_Exports'!AR10&lt;&gt;"",'Pasted_Exports'!AR10,'File_Intake'!AR10)</f>
        <v/>
      </c>
      <c r="AS10" s="27">
        <f>IF('Pasted_Exports'!AS10&lt;&gt;"",'Pasted_Exports'!AS10,'File_Intake'!AS10)</f>
        <v/>
      </c>
      <c r="AT10" s="47">
        <f>IF('Pasted_Exports'!AT10&lt;&gt;"",'Pasted_Exports'!AT10,'File_Intake'!AT10)</f>
        <v/>
      </c>
      <c r="AU10" s="47">
        <f>IF('Pasted_Exports'!AU10&lt;&gt;"",'Pasted_Exports'!AU10,'File_Intake'!AU10)</f>
        <v/>
      </c>
      <c r="AV10" s="47">
        <f>IF('Pasted_Exports'!AV10&lt;&gt;"",'Pasted_Exports'!AV10,'File_Intake'!AV10)</f>
        <v/>
      </c>
      <c r="AW10" s="56">
        <f>IF('Pasted_Exports'!AW10&lt;&gt;"",'Pasted_Exports'!AW10,'File_Intake'!AW10)</f>
        <v/>
      </c>
      <c r="AX10" s="56">
        <f>IF('Pasted_Exports'!AX10&lt;&gt;"",'Pasted_Exports'!AX10,'File_Intake'!AX10)</f>
        <v/>
      </c>
      <c r="AY10" s="56">
        <f>IF('Pasted_Exports'!AY10&lt;&gt;"",'Pasted_Exports'!AY10,'File_Intake'!AY10)</f>
        <v/>
      </c>
      <c r="AZ10" s="47">
        <f>IF('Pasted_Exports'!AZ10&lt;&gt;"",'Pasted_Exports'!AZ10,'File_Intake'!AZ10)</f>
        <v/>
      </c>
      <c r="BA10" s="47">
        <f>IF('Pasted_Exports'!BA10&lt;&gt;"",'Pasted_Exports'!BA10,'File_Intake'!BA10)</f>
        <v/>
      </c>
      <c r="BB10" s="47">
        <f>IF('Pasted_Exports'!BB10&lt;&gt;"",'Pasted_Exports'!BB10,'File_Intake'!BB10)</f>
        <v/>
      </c>
      <c r="BC10" s="27">
        <f>IF('Pasted_Exports'!BC10&lt;&gt;"",'Pasted_Exports'!BC10,'File_Intake'!BC10)</f>
        <v/>
      </c>
      <c r="BD10" s="27">
        <f>IF('Pasted_Exports'!BD10&lt;&gt;"",'Pasted_Exports'!BD10,'File_Intake'!BD10)</f>
        <v/>
      </c>
      <c r="BE10" s="27">
        <f>IF('Pasted_Exports'!BE10&lt;&gt;"",'Pasted_Exports'!BE10,'File_Intake'!BE10)</f>
        <v/>
      </c>
      <c r="BF10" s="47">
        <f>IF('Pasted_Exports'!BF10&lt;&gt;"",'Pasted_Exports'!BF10,'File_Intake'!BF10)</f>
        <v/>
      </c>
      <c r="BG10" s="47">
        <f>IF('Pasted_Exports'!BG10&lt;&gt;"",'Pasted_Exports'!BG10,'File_Intake'!BG10)</f>
        <v/>
      </c>
      <c r="BH10" s="47">
        <f>IF('Pasted_Exports'!BH10&lt;&gt;"",'Pasted_Exports'!BH10,'File_Intake'!BH10)</f>
        <v/>
      </c>
      <c r="BI10" s="47">
        <f>IF('Pasted_Exports'!BI10&lt;&gt;"",'Pasted_Exports'!BI10,'File_Intake'!BI10)</f>
        <v/>
      </c>
      <c r="BJ10" s="47">
        <f>IF('Pasted_Exports'!BJ10&lt;&gt;"",'Pasted_Exports'!BJ10,'File_Intake'!BJ10)</f>
        <v/>
      </c>
      <c r="BK10" s="47">
        <f>IF('Pasted_Exports'!BK10&lt;&gt;"",'Pasted_Exports'!BK10,'File_Intake'!BK10)</f>
        <v/>
      </c>
      <c r="BL10" s="47">
        <f>IF('Pasted_Exports'!BL10&lt;&gt;"",'Pasted_Exports'!BL10,'File_Intake'!BL10)</f>
        <v/>
      </c>
      <c r="BM10" s="47">
        <f>IF('Pasted_Exports'!BM10&lt;&gt;"",'Pasted_Exports'!BM10,'File_Intake'!BM10)</f>
        <v/>
      </c>
      <c r="BN10" s="47">
        <f>IF('Pasted_Exports'!BN10&lt;&gt;"",'Pasted_Exports'!BN10,'File_Intake'!BN10)</f>
        <v/>
      </c>
      <c r="BO10" s="47">
        <f>IF('Pasted_Exports'!BO10&lt;&gt;"",'Pasted_Exports'!BO10,'File_Intake'!BO10)</f>
        <v/>
      </c>
      <c r="BP10" s="47">
        <f>IF('Pasted_Exports'!BP10&lt;&gt;"",'Pasted_Exports'!BP10,'File_Intake'!BP10)</f>
        <v/>
      </c>
      <c r="BQ10" s="47">
        <f>IF('Pasted_Exports'!BQ10&lt;&gt;"",'Pasted_Exports'!BQ10,'File_Intake'!BQ10)</f>
        <v/>
      </c>
      <c r="BR10" s="47">
        <f>IF('Pasted_Exports'!BR10&lt;&gt;"",'Pasted_Exports'!BR10,'File_Intake'!BR10)</f>
        <v/>
      </c>
      <c r="BS10" s="47">
        <f>IF('Pasted_Exports'!BS10&lt;&gt;"",'Pasted_Exports'!BS10,'File_Intake'!BS10)</f>
        <v/>
      </c>
      <c r="BT10" s="47">
        <f>IF('Pasted_Exports'!BT10&lt;&gt;"",'Pasted_Exports'!BT10,'File_Intake'!BT10)</f>
        <v/>
      </c>
      <c r="BU10" s="47">
        <f>IF('Pasted_Exports'!BU10&lt;&gt;"",'Pasted_Exports'!BU10,'File_Intake'!BU10)</f>
        <v/>
      </c>
      <c r="BV10" s="47">
        <f>IF('Pasted_Exports'!BV10&lt;&gt;"",'Pasted_Exports'!BV10,'File_Intake'!BV10)</f>
        <v/>
      </c>
      <c r="BW10" s="47">
        <f>IF('Pasted_Exports'!BW10&lt;&gt;"",'Pasted_Exports'!BW10,'File_Intake'!BW10)</f>
        <v/>
      </c>
      <c r="BX10" s="29">
        <f>IF(AND($A10&lt;&gt;"",$B10&lt;&gt;"",$K10&gt;='Study_Setup'!$B$14,$L10&gt;='Study_Setup'!$B$15),1,0)</f>
        <v/>
      </c>
      <c r="BY10" s="30">
        <f>IF($A10="","",TEXTJOIN("; ",TRUE,IF($B10="","Missing arm",""),IF($K10&lt;'Study_Setup'!$B$14,"Low off-days",""),IF($L10&lt;'Study_Setup'!$B$15,"Low on-days",""),IF($AM10&gt;'Study_Setup'!$B$19,"Hypo burden increased","")))</f>
        <v/>
      </c>
      <c r="BZ10" s="61">
        <f>IFERROR($M10-$N10,"")</f>
        <v/>
      </c>
      <c r="CA10" s="62">
        <f>IFERROR(($M10-$N10)/$M10,"")</f>
        <v/>
      </c>
      <c r="CB10" s="33">
        <f>IFERROR($P10-$Q10,"")</f>
        <v/>
      </c>
      <c r="CC10" s="63">
        <f>IFERROR($T10-$S10,"")</f>
        <v/>
      </c>
      <c r="CD10" s="33">
        <f>IFERROR($AH10-$AI10,"")</f>
        <v/>
      </c>
      <c r="CE10" s="62">
        <f>IFERROR(($AH10-$AI10)/$AH10,"")</f>
        <v/>
      </c>
      <c r="CF10" s="33">
        <f>IFERROR($AQ10-$AR10,"")</f>
        <v/>
      </c>
      <c r="CG10" s="61">
        <f>IFERROR($BO10-$BP10,"")</f>
        <v/>
      </c>
      <c r="CH10" s="61">
        <f>IFERROR($BI10-$BJ10,"")</f>
        <v/>
      </c>
      <c r="CI10" s="61">
        <f>IFERROR($BL10-$BM10,"")</f>
        <v/>
      </c>
      <c r="CJ10" s="61">
        <f>IFERROR($BF10-$BG10,"")</f>
        <v/>
      </c>
      <c r="CK10" s="33">
        <f>IFERROR($BC10-$BD10,"")</f>
        <v/>
      </c>
      <c r="CL10" s="29">
        <f>IF($A10="","",IF($AM10&lt;='Study_Setup'!$B$19,1,0))</f>
        <v/>
      </c>
      <c r="CM10" s="29">
        <f>IF($A10="","",IF(AND($BZ10&gt;='Study_Setup'!$B$16,$CC10&gt;='Study_Setup'!$B$17,$CE10&gt;='Study_Setup'!$B$18,$CL10=1),1,0))</f>
        <v/>
      </c>
      <c r="CN10" s="61">
        <f>IFERROR(40*MIN(1,$BZ10/'Study_Setup'!$B$16)+25*MIN(1,$CC10/'Study_Setup'!$B$17)+25*MIN(1,$CE10/'Study_Setup'!$B$18)+10*$CL10,"")</f>
        <v/>
      </c>
      <c r="CO10">
        <f>IF('Pasted_Exports'!BX10&lt;&gt;"",'Pasted_Exports'!BX10,'File_Intake'!BX10)</f>
        <v/>
      </c>
      <c r="CP10" s="57">
        <f>IF('Pasted_Exports'!BY10&lt;&gt;"",'Pasted_Exports'!BY10,'File_Intake'!BY10)</f>
        <v/>
      </c>
      <c r="CQ10" s="57">
        <f>IF('Pasted_Exports'!BZ10&lt;&gt;"",'Pasted_Exports'!BZ10,'File_Intake'!BZ10)</f>
        <v/>
      </c>
      <c r="CR10" s="57">
        <f>IF('Pasted_Exports'!CA10&lt;&gt;"",'Pasted_Exports'!CA10,'File_Intake'!CA10)</f>
        <v/>
      </c>
      <c r="CS10" s="58">
        <f>IF('Pasted_Exports'!CB10&lt;&gt;"",'Pasted_Exports'!CB10,'File_Intake'!CB10)</f>
        <v/>
      </c>
      <c r="CT10" s="59">
        <f>IF('Pasted_Exports'!CC10&lt;&gt;"",'Pasted_Exports'!CC10,'File_Intake'!CC10)</f>
        <v/>
      </c>
      <c r="CU10">
        <f>IF('Pasted_Exports'!CD10&lt;&gt;"",'Pasted_Exports'!CD10,'File_Intake'!CD10)</f>
        <v/>
      </c>
      <c r="CV10">
        <f>IF('Pasted_Exports'!CE10&lt;&gt;"",'Pasted_Exports'!CE10,'File_Intake'!CE10)</f>
        <v/>
      </c>
      <c r="CW10" s="60">
        <f>IF('Pasted_Exports'!CF10&lt;&gt;"",'Pasted_Exports'!CF10,'File_Intake'!CF10)</f>
        <v/>
      </c>
      <c r="CX10" s="60">
        <f>IF('Pasted_Exports'!CG10&lt;&gt;"",'Pasted_Exports'!CG10,'File_Intake'!CG10)</f>
        <v/>
      </c>
      <c r="CY10">
        <f>IF('Pasted_Exports'!CH10&lt;&gt;"",'Pasted_Exports'!CH10,'File_Intake'!CH10)</f>
        <v/>
      </c>
    </row>
    <row r="11">
      <c r="A11" s="24">
        <f>IF('Pasted_Exports'!A11&lt;&gt;"",'Pasted_Exports'!A11,'File_Intake'!A11)</f>
        <v/>
      </c>
      <c r="B11" s="24">
        <f>IF('Pasted_Exports'!B11&lt;&gt;"",'Pasted_Exports'!B11,'File_Intake'!B11)</f>
        <v/>
      </c>
      <c r="C11" s="24">
        <f>IF('Pasted_Exports'!C11&lt;&gt;"",'Pasted_Exports'!C11,'File_Intake'!C11)</f>
        <v/>
      </c>
      <c r="D11" s="24">
        <f>IF('Pasted_Exports'!D11&lt;&gt;"",'Pasted_Exports'!D11,'File_Intake'!D11)</f>
        <v/>
      </c>
      <c r="E11" s="55">
        <f>IF('Pasted_Exports'!E11&lt;&gt;"",'Pasted_Exports'!E11,'File_Intake'!E11)</f>
        <v/>
      </c>
      <c r="F11" s="26">
        <f>IF('Pasted_Exports'!F11&lt;&gt;"",'Pasted_Exports'!F11,'File_Intake'!F11)</f>
        <v/>
      </c>
      <c r="G11" s="26">
        <f>IF('Pasted_Exports'!G11&lt;&gt;"",'Pasted_Exports'!G11,'File_Intake'!G11)</f>
        <v/>
      </c>
      <c r="H11" s="47">
        <f>IF('Pasted_Exports'!H11&lt;&gt;"",'Pasted_Exports'!H11,'File_Intake'!H11)</f>
        <v/>
      </c>
      <c r="I11" s="26">
        <f>IF('Pasted_Exports'!I11&lt;&gt;"",'Pasted_Exports'!I11,'File_Intake'!I11)</f>
        <v/>
      </c>
      <c r="J11" s="26">
        <f>IF('Pasted_Exports'!J11&lt;&gt;"",'Pasted_Exports'!J11,'File_Intake'!J11)</f>
        <v/>
      </c>
      <c r="K11" s="47">
        <f>IF('Pasted_Exports'!K11&lt;&gt;"",'Pasted_Exports'!K11,'File_Intake'!K11)</f>
        <v/>
      </c>
      <c r="L11" s="47">
        <f>IF('Pasted_Exports'!L11&lt;&gt;"",'Pasted_Exports'!L11,'File_Intake'!L11)</f>
        <v/>
      </c>
      <c r="M11" s="47">
        <f>IF('Pasted_Exports'!M11&lt;&gt;"",'Pasted_Exports'!M11,'File_Intake'!M11)</f>
        <v/>
      </c>
      <c r="N11" s="47">
        <f>IF('Pasted_Exports'!N11&lt;&gt;"",'Pasted_Exports'!N11,'File_Intake'!N11)</f>
        <v/>
      </c>
      <c r="O11" s="47">
        <f>IF('Pasted_Exports'!O11&lt;&gt;"",'Pasted_Exports'!O11,'File_Intake'!O11)</f>
        <v/>
      </c>
      <c r="P11" s="27">
        <f>IF('Pasted_Exports'!P11&lt;&gt;"",'Pasted_Exports'!P11,'File_Intake'!P11)</f>
        <v/>
      </c>
      <c r="Q11" s="27">
        <f>IF('Pasted_Exports'!Q11&lt;&gt;"",'Pasted_Exports'!Q11,'File_Intake'!Q11)</f>
        <v/>
      </c>
      <c r="R11" s="27">
        <f>IF('Pasted_Exports'!R11&lt;&gt;"",'Pasted_Exports'!R11,'File_Intake'!R11)</f>
        <v/>
      </c>
      <c r="S11" s="56">
        <f>IF('Pasted_Exports'!S11&lt;&gt;"",'Pasted_Exports'!S11,'File_Intake'!S11)</f>
        <v/>
      </c>
      <c r="T11" s="56">
        <f>IF('Pasted_Exports'!T11&lt;&gt;"",'Pasted_Exports'!T11,'File_Intake'!T11)</f>
        <v/>
      </c>
      <c r="U11" s="56">
        <f>IF('Pasted_Exports'!U11&lt;&gt;"",'Pasted_Exports'!U11,'File_Intake'!U11)</f>
        <v/>
      </c>
      <c r="V11" s="56">
        <f>IF('Pasted_Exports'!V11&lt;&gt;"",'Pasted_Exports'!V11,'File_Intake'!V11)</f>
        <v/>
      </c>
      <c r="W11" s="56">
        <f>IF('Pasted_Exports'!W11&lt;&gt;"",'Pasted_Exports'!W11,'File_Intake'!W11)</f>
        <v/>
      </c>
      <c r="X11" s="56">
        <f>IF('Pasted_Exports'!X11&lt;&gt;"",'Pasted_Exports'!X11,'File_Intake'!X11)</f>
        <v/>
      </c>
      <c r="Y11" s="56">
        <f>IF('Pasted_Exports'!Y11&lt;&gt;"",'Pasted_Exports'!Y11,'File_Intake'!Y11)</f>
        <v/>
      </c>
      <c r="Z11" s="56">
        <f>IF('Pasted_Exports'!Z11&lt;&gt;"",'Pasted_Exports'!Z11,'File_Intake'!Z11)</f>
        <v/>
      </c>
      <c r="AA11" s="56">
        <f>IF('Pasted_Exports'!AA11&lt;&gt;"",'Pasted_Exports'!AA11,'File_Intake'!AA11)</f>
        <v/>
      </c>
      <c r="AB11" s="56">
        <f>IF('Pasted_Exports'!AB11&lt;&gt;"",'Pasted_Exports'!AB11,'File_Intake'!AB11)</f>
        <v/>
      </c>
      <c r="AC11" s="56">
        <f>IF('Pasted_Exports'!AC11&lt;&gt;"",'Pasted_Exports'!AC11,'File_Intake'!AC11)</f>
        <v/>
      </c>
      <c r="AD11" s="56">
        <f>IF('Pasted_Exports'!AD11&lt;&gt;"",'Pasted_Exports'!AD11,'File_Intake'!AD11)</f>
        <v/>
      </c>
      <c r="AE11" s="56">
        <f>IF('Pasted_Exports'!AE11&lt;&gt;"",'Pasted_Exports'!AE11,'File_Intake'!AE11)</f>
        <v/>
      </c>
      <c r="AF11" s="56">
        <f>IF('Pasted_Exports'!AF11&lt;&gt;"",'Pasted_Exports'!AF11,'File_Intake'!AF11)</f>
        <v/>
      </c>
      <c r="AG11" s="56">
        <f>IF('Pasted_Exports'!AG11&lt;&gt;"",'Pasted_Exports'!AG11,'File_Intake'!AG11)</f>
        <v/>
      </c>
      <c r="AH11" s="27">
        <f>IF('Pasted_Exports'!AH11&lt;&gt;"",'Pasted_Exports'!AH11,'File_Intake'!AH11)</f>
        <v/>
      </c>
      <c r="AI11" s="27">
        <f>IF('Pasted_Exports'!AI11&lt;&gt;"",'Pasted_Exports'!AI11,'File_Intake'!AI11)</f>
        <v/>
      </c>
      <c r="AJ11" s="27">
        <f>IF('Pasted_Exports'!AJ11&lt;&gt;"",'Pasted_Exports'!AJ11,'File_Intake'!AJ11)</f>
        <v/>
      </c>
      <c r="AK11" s="27">
        <f>IF('Pasted_Exports'!AK11&lt;&gt;"",'Pasted_Exports'!AK11,'File_Intake'!AK11)</f>
        <v/>
      </c>
      <c r="AL11" s="27">
        <f>IF('Pasted_Exports'!AL11&lt;&gt;"",'Pasted_Exports'!AL11,'File_Intake'!AL11)</f>
        <v/>
      </c>
      <c r="AM11" s="27">
        <f>IF('Pasted_Exports'!AM11&lt;&gt;"",'Pasted_Exports'!AM11,'File_Intake'!AM11)</f>
        <v/>
      </c>
      <c r="AN11" s="27">
        <f>IF('Pasted_Exports'!AN11&lt;&gt;"",'Pasted_Exports'!AN11,'File_Intake'!AN11)</f>
        <v/>
      </c>
      <c r="AO11" s="27">
        <f>IF('Pasted_Exports'!AO11&lt;&gt;"",'Pasted_Exports'!AO11,'File_Intake'!AO11)</f>
        <v/>
      </c>
      <c r="AP11" s="27">
        <f>IF('Pasted_Exports'!AP11&lt;&gt;"",'Pasted_Exports'!AP11,'File_Intake'!AP11)</f>
        <v/>
      </c>
      <c r="AQ11" s="27">
        <f>IF('Pasted_Exports'!AQ11&lt;&gt;"",'Pasted_Exports'!AQ11,'File_Intake'!AQ11)</f>
        <v/>
      </c>
      <c r="AR11" s="27">
        <f>IF('Pasted_Exports'!AR11&lt;&gt;"",'Pasted_Exports'!AR11,'File_Intake'!AR11)</f>
        <v/>
      </c>
      <c r="AS11" s="27">
        <f>IF('Pasted_Exports'!AS11&lt;&gt;"",'Pasted_Exports'!AS11,'File_Intake'!AS11)</f>
        <v/>
      </c>
      <c r="AT11" s="47">
        <f>IF('Pasted_Exports'!AT11&lt;&gt;"",'Pasted_Exports'!AT11,'File_Intake'!AT11)</f>
        <v/>
      </c>
      <c r="AU11" s="47">
        <f>IF('Pasted_Exports'!AU11&lt;&gt;"",'Pasted_Exports'!AU11,'File_Intake'!AU11)</f>
        <v/>
      </c>
      <c r="AV11" s="47">
        <f>IF('Pasted_Exports'!AV11&lt;&gt;"",'Pasted_Exports'!AV11,'File_Intake'!AV11)</f>
        <v/>
      </c>
      <c r="AW11" s="56">
        <f>IF('Pasted_Exports'!AW11&lt;&gt;"",'Pasted_Exports'!AW11,'File_Intake'!AW11)</f>
        <v/>
      </c>
      <c r="AX11" s="56">
        <f>IF('Pasted_Exports'!AX11&lt;&gt;"",'Pasted_Exports'!AX11,'File_Intake'!AX11)</f>
        <v/>
      </c>
      <c r="AY11" s="56">
        <f>IF('Pasted_Exports'!AY11&lt;&gt;"",'Pasted_Exports'!AY11,'File_Intake'!AY11)</f>
        <v/>
      </c>
      <c r="AZ11" s="47">
        <f>IF('Pasted_Exports'!AZ11&lt;&gt;"",'Pasted_Exports'!AZ11,'File_Intake'!AZ11)</f>
        <v/>
      </c>
      <c r="BA11" s="47">
        <f>IF('Pasted_Exports'!BA11&lt;&gt;"",'Pasted_Exports'!BA11,'File_Intake'!BA11)</f>
        <v/>
      </c>
      <c r="BB11" s="47">
        <f>IF('Pasted_Exports'!BB11&lt;&gt;"",'Pasted_Exports'!BB11,'File_Intake'!BB11)</f>
        <v/>
      </c>
      <c r="BC11" s="27">
        <f>IF('Pasted_Exports'!BC11&lt;&gt;"",'Pasted_Exports'!BC11,'File_Intake'!BC11)</f>
        <v/>
      </c>
      <c r="BD11" s="27">
        <f>IF('Pasted_Exports'!BD11&lt;&gt;"",'Pasted_Exports'!BD11,'File_Intake'!BD11)</f>
        <v/>
      </c>
      <c r="BE11" s="27">
        <f>IF('Pasted_Exports'!BE11&lt;&gt;"",'Pasted_Exports'!BE11,'File_Intake'!BE11)</f>
        <v/>
      </c>
      <c r="BF11" s="47">
        <f>IF('Pasted_Exports'!BF11&lt;&gt;"",'Pasted_Exports'!BF11,'File_Intake'!BF11)</f>
        <v/>
      </c>
      <c r="BG11" s="47">
        <f>IF('Pasted_Exports'!BG11&lt;&gt;"",'Pasted_Exports'!BG11,'File_Intake'!BG11)</f>
        <v/>
      </c>
      <c r="BH11" s="47">
        <f>IF('Pasted_Exports'!BH11&lt;&gt;"",'Pasted_Exports'!BH11,'File_Intake'!BH11)</f>
        <v/>
      </c>
      <c r="BI11" s="47">
        <f>IF('Pasted_Exports'!BI11&lt;&gt;"",'Pasted_Exports'!BI11,'File_Intake'!BI11)</f>
        <v/>
      </c>
      <c r="BJ11" s="47">
        <f>IF('Pasted_Exports'!BJ11&lt;&gt;"",'Pasted_Exports'!BJ11,'File_Intake'!BJ11)</f>
        <v/>
      </c>
      <c r="BK11" s="47">
        <f>IF('Pasted_Exports'!BK11&lt;&gt;"",'Pasted_Exports'!BK11,'File_Intake'!BK11)</f>
        <v/>
      </c>
      <c r="BL11" s="47">
        <f>IF('Pasted_Exports'!BL11&lt;&gt;"",'Pasted_Exports'!BL11,'File_Intake'!BL11)</f>
        <v/>
      </c>
      <c r="BM11" s="47">
        <f>IF('Pasted_Exports'!BM11&lt;&gt;"",'Pasted_Exports'!BM11,'File_Intake'!BM11)</f>
        <v/>
      </c>
      <c r="BN11" s="47">
        <f>IF('Pasted_Exports'!BN11&lt;&gt;"",'Pasted_Exports'!BN11,'File_Intake'!BN11)</f>
        <v/>
      </c>
      <c r="BO11" s="47">
        <f>IF('Pasted_Exports'!BO11&lt;&gt;"",'Pasted_Exports'!BO11,'File_Intake'!BO11)</f>
        <v/>
      </c>
      <c r="BP11" s="47">
        <f>IF('Pasted_Exports'!BP11&lt;&gt;"",'Pasted_Exports'!BP11,'File_Intake'!BP11)</f>
        <v/>
      </c>
      <c r="BQ11" s="47">
        <f>IF('Pasted_Exports'!BQ11&lt;&gt;"",'Pasted_Exports'!BQ11,'File_Intake'!BQ11)</f>
        <v/>
      </c>
      <c r="BR11" s="47">
        <f>IF('Pasted_Exports'!BR11&lt;&gt;"",'Pasted_Exports'!BR11,'File_Intake'!BR11)</f>
        <v/>
      </c>
      <c r="BS11" s="47">
        <f>IF('Pasted_Exports'!BS11&lt;&gt;"",'Pasted_Exports'!BS11,'File_Intake'!BS11)</f>
        <v/>
      </c>
      <c r="BT11" s="47">
        <f>IF('Pasted_Exports'!BT11&lt;&gt;"",'Pasted_Exports'!BT11,'File_Intake'!BT11)</f>
        <v/>
      </c>
      <c r="BU11" s="47">
        <f>IF('Pasted_Exports'!BU11&lt;&gt;"",'Pasted_Exports'!BU11,'File_Intake'!BU11)</f>
        <v/>
      </c>
      <c r="BV11" s="47">
        <f>IF('Pasted_Exports'!BV11&lt;&gt;"",'Pasted_Exports'!BV11,'File_Intake'!BV11)</f>
        <v/>
      </c>
      <c r="BW11" s="47">
        <f>IF('Pasted_Exports'!BW11&lt;&gt;"",'Pasted_Exports'!BW11,'File_Intake'!BW11)</f>
        <v/>
      </c>
      <c r="BX11" s="29">
        <f>IF(AND($A11&lt;&gt;"",$B11&lt;&gt;"",$K11&gt;='Study_Setup'!$B$14,$L11&gt;='Study_Setup'!$B$15),1,0)</f>
        <v/>
      </c>
      <c r="BY11" s="30">
        <f>IF($A11="","",TEXTJOIN("; ",TRUE,IF($B11="","Missing arm",""),IF($K11&lt;'Study_Setup'!$B$14,"Low off-days",""),IF($L11&lt;'Study_Setup'!$B$15,"Low on-days",""),IF($AM11&gt;'Study_Setup'!$B$19,"Hypo burden increased","")))</f>
        <v/>
      </c>
      <c r="BZ11" s="61">
        <f>IFERROR($M11-$N11,"")</f>
        <v/>
      </c>
      <c r="CA11" s="62">
        <f>IFERROR(($M11-$N11)/$M11,"")</f>
        <v/>
      </c>
      <c r="CB11" s="33">
        <f>IFERROR($P11-$Q11,"")</f>
        <v/>
      </c>
      <c r="CC11" s="63">
        <f>IFERROR($T11-$S11,"")</f>
        <v/>
      </c>
      <c r="CD11" s="33">
        <f>IFERROR($AH11-$AI11,"")</f>
        <v/>
      </c>
      <c r="CE11" s="62">
        <f>IFERROR(($AH11-$AI11)/$AH11,"")</f>
        <v/>
      </c>
      <c r="CF11" s="33">
        <f>IFERROR($AQ11-$AR11,"")</f>
        <v/>
      </c>
      <c r="CG11" s="61">
        <f>IFERROR($BO11-$BP11,"")</f>
        <v/>
      </c>
      <c r="CH11" s="61">
        <f>IFERROR($BI11-$BJ11,"")</f>
        <v/>
      </c>
      <c r="CI11" s="61">
        <f>IFERROR($BL11-$BM11,"")</f>
        <v/>
      </c>
      <c r="CJ11" s="61">
        <f>IFERROR($BF11-$BG11,"")</f>
        <v/>
      </c>
      <c r="CK11" s="33">
        <f>IFERROR($BC11-$BD11,"")</f>
        <v/>
      </c>
      <c r="CL11" s="29">
        <f>IF($A11="","",IF($AM11&lt;='Study_Setup'!$B$19,1,0))</f>
        <v/>
      </c>
      <c r="CM11" s="29">
        <f>IF($A11="","",IF(AND($BZ11&gt;='Study_Setup'!$B$16,$CC11&gt;='Study_Setup'!$B$17,$CE11&gt;='Study_Setup'!$B$18,$CL11=1),1,0))</f>
        <v/>
      </c>
      <c r="CN11" s="61">
        <f>IFERROR(40*MIN(1,$BZ11/'Study_Setup'!$B$16)+25*MIN(1,$CC11/'Study_Setup'!$B$17)+25*MIN(1,$CE11/'Study_Setup'!$B$18)+10*$CL11,"")</f>
        <v/>
      </c>
      <c r="CO11">
        <f>IF('Pasted_Exports'!BX11&lt;&gt;"",'Pasted_Exports'!BX11,'File_Intake'!BX11)</f>
        <v/>
      </c>
      <c r="CP11" s="57">
        <f>IF('Pasted_Exports'!BY11&lt;&gt;"",'Pasted_Exports'!BY11,'File_Intake'!BY11)</f>
        <v/>
      </c>
      <c r="CQ11" s="57">
        <f>IF('Pasted_Exports'!BZ11&lt;&gt;"",'Pasted_Exports'!BZ11,'File_Intake'!BZ11)</f>
        <v/>
      </c>
      <c r="CR11" s="57">
        <f>IF('Pasted_Exports'!CA11&lt;&gt;"",'Pasted_Exports'!CA11,'File_Intake'!CA11)</f>
        <v/>
      </c>
      <c r="CS11" s="58">
        <f>IF('Pasted_Exports'!CB11&lt;&gt;"",'Pasted_Exports'!CB11,'File_Intake'!CB11)</f>
        <v/>
      </c>
      <c r="CT11" s="59">
        <f>IF('Pasted_Exports'!CC11&lt;&gt;"",'Pasted_Exports'!CC11,'File_Intake'!CC11)</f>
        <v/>
      </c>
      <c r="CU11">
        <f>IF('Pasted_Exports'!CD11&lt;&gt;"",'Pasted_Exports'!CD11,'File_Intake'!CD11)</f>
        <v/>
      </c>
      <c r="CV11">
        <f>IF('Pasted_Exports'!CE11&lt;&gt;"",'Pasted_Exports'!CE11,'File_Intake'!CE11)</f>
        <v/>
      </c>
      <c r="CW11" s="60">
        <f>IF('Pasted_Exports'!CF11&lt;&gt;"",'Pasted_Exports'!CF11,'File_Intake'!CF11)</f>
        <v/>
      </c>
      <c r="CX11" s="60">
        <f>IF('Pasted_Exports'!CG11&lt;&gt;"",'Pasted_Exports'!CG11,'File_Intake'!CG11)</f>
        <v/>
      </c>
      <c r="CY11">
        <f>IF('Pasted_Exports'!CH11&lt;&gt;"",'Pasted_Exports'!CH11,'File_Intake'!CH11)</f>
        <v/>
      </c>
    </row>
    <row r="12">
      <c r="A12" s="24">
        <f>IF('Pasted_Exports'!A12&lt;&gt;"",'Pasted_Exports'!A12,'File_Intake'!A12)</f>
        <v/>
      </c>
      <c r="B12" s="24">
        <f>IF('Pasted_Exports'!B12&lt;&gt;"",'Pasted_Exports'!B12,'File_Intake'!B12)</f>
        <v/>
      </c>
      <c r="C12" s="24">
        <f>IF('Pasted_Exports'!C12&lt;&gt;"",'Pasted_Exports'!C12,'File_Intake'!C12)</f>
        <v/>
      </c>
      <c r="D12" s="24">
        <f>IF('Pasted_Exports'!D12&lt;&gt;"",'Pasted_Exports'!D12,'File_Intake'!D12)</f>
        <v/>
      </c>
      <c r="E12" s="55">
        <f>IF('Pasted_Exports'!E12&lt;&gt;"",'Pasted_Exports'!E12,'File_Intake'!E12)</f>
        <v/>
      </c>
      <c r="F12" s="26">
        <f>IF('Pasted_Exports'!F12&lt;&gt;"",'Pasted_Exports'!F12,'File_Intake'!F12)</f>
        <v/>
      </c>
      <c r="G12" s="26">
        <f>IF('Pasted_Exports'!G12&lt;&gt;"",'Pasted_Exports'!G12,'File_Intake'!G12)</f>
        <v/>
      </c>
      <c r="H12" s="47">
        <f>IF('Pasted_Exports'!H12&lt;&gt;"",'Pasted_Exports'!H12,'File_Intake'!H12)</f>
        <v/>
      </c>
      <c r="I12" s="26">
        <f>IF('Pasted_Exports'!I12&lt;&gt;"",'Pasted_Exports'!I12,'File_Intake'!I12)</f>
        <v/>
      </c>
      <c r="J12" s="26">
        <f>IF('Pasted_Exports'!J12&lt;&gt;"",'Pasted_Exports'!J12,'File_Intake'!J12)</f>
        <v/>
      </c>
      <c r="K12" s="47">
        <f>IF('Pasted_Exports'!K12&lt;&gt;"",'Pasted_Exports'!K12,'File_Intake'!K12)</f>
        <v/>
      </c>
      <c r="L12" s="47">
        <f>IF('Pasted_Exports'!L12&lt;&gt;"",'Pasted_Exports'!L12,'File_Intake'!L12)</f>
        <v/>
      </c>
      <c r="M12" s="47">
        <f>IF('Pasted_Exports'!M12&lt;&gt;"",'Pasted_Exports'!M12,'File_Intake'!M12)</f>
        <v/>
      </c>
      <c r="N12" s="47">
        <f>IF('Pasted_Exports'!N12&lt;&gt;"",'Pasted_Exports'!N12,'File_Intake'!N12)</f>
        <v/>
      </c>
      <c r="O12" s="47">
        <f>IF('Pasted_Exports'!O12&lt;&gt;"",'Pasted_Exports'!O12,'File_Intake'!O12)</f>
        <v/>
      </c>
      <c r="P12" s="27">
        <f>IF('Pasted_Exports'!P12&lt;&gt;"",'Pasted_Exports'!P12,'File_Intake'!P12)</f>
        <v/>
      </c>
      <c r="Q12" s="27">
        <f>IF('Pasted_Exports'!Q12&lt;&gt;"",'Pasted_Exports'!Q12,'File_Intake'!Q12)</f>
        <v/>
      </c>
      <c r="R12" s="27">
        <f>IF('Pasted_Exports'!R12&lt;&gt;"",'Pasted_Exports'!R12,'File_Intake'!R12)</f>
        <v/>
      </c>
      <c r="S12" s="56">
        <f>IF('Pasted_Exports'!S12&lt;&gt;"",'Pasted_Exports'!S12,'File_Intake'!S12)</f>
        <v/>
      </c>
      <c r="T12" s="56">
        <f>IF('Pasted_Exports'!T12&lt;&gt;"",'Pasted_Exports'!T12,'File_Intake'!T12)</f>
        <v/>
      </c>
      <c r="U12" s="56">
        <f>IF('Pasted_Exports'!U12&lt;&gt;"",'Pasted_Exports'!U12,'File_Intake'!U12)</f>
        <v/>
      </c>
      <c r="V12" s="56">
        <f>IF('Pasted_Exports'!V12&lt;&gt;"",'Pasted_Exports'!V12,'File_Intake'!V12)</f>
        <v/>
      </c>
      <c r="W12" s="56">
        <f>IF('Pasted_Exports'!W12&lt;&gt;"",'Pasted_Exports'!W12,'File_Intake'!W12)</f>
        <v/>
      </c>
      <c r="X12" s="56">
        <f>IF('Pasted_Exports'!X12&lt;&gt;"",'Pasted_Exports'!X12,'File_Intake'!X12)</f>
        <v/>
      </c>
      <c r="Y12" s="56">
        <f>IF('Pasted_Exports'!Y12&lt;&gt;"",'Pasted_Exports'!Y12,'File_Intake'!Y12)</f>
        <v/>
      </c>
      <c r="Z12" s="56">
        <f>IF('Pasted_Exports'!Z12&lt;&gt;"",'Pasted_Exports'!Z12,'File_Intake'!Z12)</f>
        <v/>
      </c>
      <c r="AA12" s="56">
        <f>IF('Pasted_Exports'!AA12&lt;&gt;"",'Pasted_Exports'!AA12,'File_Intake'!AA12)</f>
        <v/>
      </c>
      <c r="AB12" s="56">
        <f>IF('Pasted_Exports'!AB12&lt;&gt;"",'Pasted_Exports'!AB12,'File_Intake'!AB12)</f>
        <v/>
      </c>
      <c r="AC12" s="56">
        <f>IF('Pasted_Exports'!AC12&lt;&gt;"",'Pasted_Exports'!AC12,'File_Intake'!AC12)</f>
        <v/>
      </c>
      <c r="AD12" s="56">
        <f>IF('Pasted_Exports'!AD12&lt;&gt;"",'Pasted_Exports'!AD12,'File_Intake'!AD12)</f>
        <v/>
      </c>
      <c r="AE12" s="56">
        <f>IF('Pasted_Exports'!AE12&lt;&gt;"",'Pasted_Exports'!AE12,'File_Intake'!AE12)</f>
        <v/>
      </c>
      <c r="AF12" s="56">
        <f>IF('Pasted_Exports'!AF12&lt;&gt;"",'Pasted_Exports'!AF12,'File_Intake'!AF12)</f>
        <v/>
      </c>
      <c r="AG12" s="56">
        <f>IF('Pasted_Exports'!AG12&lt;&gt;"",'Pasted_Exports'!AG12,'File_Intake'!AG12)</f>
        <v/>
      </c>
      <c r="AH12" s="27">
        <f>IF('Pasted_Exports'!AH12&lt;&gt;"",'Pasted_Exports'!AH12,'File_Intake'!AH12)</f>
        <v/>
      </c>
      <c r="AI12" s="27">
        <f>IF('Pasted_Exports'!AI12&lt;&gt;"",'Pasted_Exports'!AI12,'File_Intake'!AI12)</f>
        <v/>
      </c>
      <c r="AJ12" s="27">
        <f>IF('Pasted_Exports'!AJ12&lt;&gt;"",'Pasted_Exports'!AJ12,'File_Intake'!AJ12)</f>
        <v/>
      </c>
      <c r="AK12" s="27">
        <f>IF('Pasted_Exports'!AK12&lt;&gt;"",'Pasted_Exports'!AK12,'File_Intake'!AK12)</f>
        <v/>
      </c>
      <c r="AL12" s="27">
        <f>IF('Pasted_Exports'!AL12&lt;&gt;"",'Pasted_Exports'!AL12,'File_Intake'!AL12)</f>
        <v/>
      </c>
      <c r="AM12" s="27">
        <f>IF('Pasted_Exports'!AM12&lt;&gt;"",'Pasted_Exports'!AM12,'File_Intake'!AM12)</f>
        <v/>
      </c>
      <c r="AN12" s="27">
        <f>IF('Pasted_Exports'!AN12&lt;&gt;"",'Pasted_Exports'!AN12,'File_Intake'!AN12)</f>
        <v/>
      </c>
      <c r="AO12" s="27">
        <f>IF('Pasted_Exports'!AO12&lt;&gt;"",'Pasted_Exports'!AO12,'File_Intake'!AO12)</f>
        <v/>
      </c>
      <c r="AP12" s="27">
        <f>IF('Pasted_Exports'!AP12&lt;&gt;"",'Pasted_Exports'!AP12,'File_Intake'!AP12)</f>
        <v/>
      </c>
      <c r="AQ12" s="27">
        <f>IF('Pasted_Exports'!AQ12&lt;&gt;"",'Pasted_Exports'!AQ12,'File_Intake'!AQ12)</f>
        <v/>
      </c>
      <c r="AR12" s="27">
        <f>IF('Pasted_Exports'!AR12&lt;&gt;"",'Pasted_Exports'!AR12,'File_Intake'!AR12)</f>
        <v/>
      </c>
      <c r="AS12" s="27">
        <f>IF('Pasted_Exports'!AS12&lt;&gt;"",'Pasted_Exports'!AS12,'File_Intake'!AS12)</f>
        <v/>
      </c>
      <c r="AT12" s="47">
        <f>IF('Pasted_Exports'!AT12&lt;&gt;"",'Pasted_Exports'!AT12,'File_Intake'!AT12)</f>
        <v/>
      </c>
      <c r="AU12" s="47">
        <f>IF('Pasted_Exports'!AU12&lt;&gt;"",'Pasted_Exports'!AU12,'File_Intake'!AU12)</f>
        <v/>
      </c>
      <c r="AV12" s="47">
        <f>IF('Pasted_Exports'!AV12&lt;&gt;"",'Pasted_Exports'!AV12,'File_Intake'!AV12)</f>
        <v/>
      </c>
      <c r="AW12" s="56">
        <f>IF('Pasted_Exports'!AW12&lt;&gt;"",'Pasted_Exports'!AW12,'File_Intake'!AW12)</f>
        <v/>
      </c>
      <c r="AX12" s="56">
        <f>IF('Pasted_Exports'!AX12&lt;&gt;"",'Pasted_Exports'!AX12,'File_Intake'!AX12)</f>
        <v/>
      </c>
      <c r="AY12" s="56">
        <f>IF('Pasted_Exports'!AY12&lt;&gt;"",'Pasted_Exports'!AY12,'File_Intake'!AY12)</f>
        <v/>
      </c>
      <c r="AZ12" s="47">
        <f>IF('Pasted_Exports'!AZ12&lt;&gt;"",'Pasted_Exports'!AZ12,'File_Intake'!AZ12)</f>
        <v/>
      </c>
      <c r="BA12" s="47">
        <f>IF('Pasted_Exports'!BA12&lt;&gt;"",'Pasted_Exports'!BA12,'File_Intake'!BA12)</f>
        <v/>
      </c>
      <c r="BB12" s="47">
        <f>IF('Pasted_Exports'!BB12&lt;&gt;"",'Pasted_Exports'!BB12,'File_Intake'!BB12)</f>
        <v/>
      </c>
      <c r="BC12" s="27">
        <f>IF('Pasted_Exports'!BC12&lt;&gt;"",'Pasted_Exports'!BC12,'File_Intake'!BC12)</f>
        <v/>
      </c>
      <c r="BD12" s="27">
        <f>IF('Pasted_Exports'!BD12&lt;&gt;"",'Pasted_Exports'!BD12,'File_Intake'!BD12)</f>
        <v/>
      </c>
      <c r="BE12" s="27">
        <f>IF('Pasted_Exports'!BE12&lt;&gt;"",'Pasted_Exports'!BE12,'File_Intake'!BE12)</f>
        <v/>
      </c>
      <c r="BF12" s="47">
        <f>IF('Pasted_Exports'!BF12&lt;&gt;"",'Pasted_Exports'!BF12,'File_Intake'!BF12)</f>
        <v/>
      </c>
      <c r="BG12" s="47">
        <f>IF('Pasted_Exports'!BG12&lt;&gt;"",'Pasted_Exports'!BG12,'File_Intake'!BG12)</f>
        <v/>
      </c>
      <c r="BH12" s="47">
        <f>IF('Pasted_Exports'!BH12&lt;&gt;"",'Pasted_Exports'!BH12,'File_Intake'!BH12)</f>
        <v/>
      </c>
      <c r="BI12" s="47">
        <f>IF('Pasted_Exports'!BI12&lt;&gt;"",'Pasted_Exports'!BI12,'File_Intake'!BI12)</f>
        <v/>
      </c>
      <c r="BJ12" s="47">
        <f>IF('Pasted_Exports'!BJ12&lt;&gt;"",'Pasted_Exports'!BJ12,'File_Intake'!BJ12)</f>
        <v/>
      </c>
      <c r="BK12" s="47">
        <f>IF('Pasted_Exports'!BK12&lt;&gt;"",'Pasted_Exports'!BK12,'File_Intake'!BK12)</f>
        <v/>
      </c>
      <c r="BL12" s="47">
        <f>IF('Pasted_Exports'!BL12&lt;&gt;"",'Pasted_Exports'!BL12,'File_Intake'!BL12)</f>
        <v/>
      </c>
      <c r="BM12" s="47">
        <f>IF('Pasted_Exports'!BM12&lt;&gt;"",'Pasted_Exports'!BM12,'File_Intake'!BM12)</f>
        <v/>
      </c>
      <c r="BN12" s="47">
        <f>IF('Pasted_Exports'!BN12&lt;&gt;"",'Pasted_Exports'!BN12,'File_Intake'!BN12)</f>
        <v/>
      </c>
      <c r="BO12" s="47">
        <f>IF('Pasted_Exports'!BO12&lt;&gt;"",'Pasted_Exports'!BO12,'File_Intake'!BO12)</f>
        <v/>
      </c>
      <c r="BP12" s="47">
        <f>IF('Pasted_Exports'!BP12&lt;&gt;"",'Pasted_Exports'!BP12,'File_Intake'!BP12)</f>
        <v/>
      </c>
      <c r="BQ12" s="47">
        <f>IF('Pasted_Exports'!BQ12&lt;&gt;"",'Pasted_Exports'!BQ12,'File_Intake'!BQ12)</f>
        <v/>
      </c>
      <c r="BR12" s="47">
        <f>IF('Pasted_Exports'!BR12&lt;&gt;"",'Pasted_Exports'!BR12,'File_Intake'!BR12)</f>
        <v/>
      </c>
      <c r="BS12" s="47">
        <f>IF('Pasted_Exports'!BS12&lt;&gt;"",'Pasted_Exports'!BS12,'File_Intake'!BS12)</f>
        <v/>
      </c>
      <c r="BT12" s="47">
        <f>IF('Pasted_Exports'!BT12&lt;&gt;"",'Pasted_Exports'!BT12,'File_Intake'!BT12)</f>
        <v/>
      </c>
      <c r="BU12" s="47">
        <f>IF('Pasted_Exports'!BU12&lt;&gt;"",'Pasted_Exports'!BU12,'File_Intake'!BU12)</f>
        <v/>
      </c>
      <c r="BV12" s="47">
        <f>IF('Pasted_Exports'!BV12&lt;&gt;"",'Pasted_Exports'!BV12,'File_Intake'!BV12)</f>
        <v/>
      </c>
      <c r="BW12" s="47">
        <f>IF('Pasted_Exports'!BW12&lt;&gt;"",'Pasted_Exports'!BW12,'File_Intake'!BW12)</f>
        <v/>
      </c>
      <c r="BX12" s="29">
        <f>IF(AND($A12&lt;&gt;"",$B12&lt;&gt;"",$K12&gt;='Study_Setup'!$B$14,$L12&gt;='Study_Setup'!$B$15),1,0)</f>
        <v/>
      </c>
      <c r="BY12" s="30">
        <f>IF($A12="","",TEXTJOIN("; ",TRUE,IF($B12="","Missing arm",""),IF($K12&lt;'Study_Setup'!$B$14,"Low off-days",""),IF($L12&lt;'Study_Setup'!$B$15,"Low on-days",""),IF($AM12&gt;'Study_Setup'!$B$19,"Hypo burden increased","")))</f>
        <v/>
      </c>
      <c r="BZ12" s="61">
        <f>IFERROR($M12-$N12,"")</f>
        <v/>
      </c>
      <c r="CA12" s="62">
        <f>IFERROR(($M12-$N12)/$M12,"")</f>
        <v/>
      </c>
      <c r="CB12" s="33">
        <f>IFERROR($P12-$Q12,"")</f>
        <v/>
      </c>
      <c r="CC12" s="63">
        <f>IFERROR($T12-$S12,"")</f>
        <v/>
      </c>
      <c r="CD12" s="33">
        <f>IFERROR($AH12-$AI12,"")</f>
        <v/>
      </c>
      <c r="CE12" s="62">
        <f>IFERROR(($AH12-$AI12)/$AH12,"")</f>
        <v/>
      </c>
      <c r="CF12" s="33">
        <f>IFERROR($AQ12-$AR12,"")</f>
        <v/>
      </c>
      <c r="CG12" s="61">
        <f>IFERROR($BO12-$BP12,"")</f>
        <v/>
      </c>
      <c r="CH12" s="61">
        <f>IFERROR($BI12-$BJ12,"")</f>
        <v/>
      </c>
      <c r="CI12" s="61">
        <f>IFERROR($BL12-$BM12,"")</f>
        <v/>
      </c>
      <c r="CJ12" s="61">
        <f>IFERROR($BF12-$BG12,"")</f>
        <v/>
      </c>
      <c r="CK12" s="33">
        <f>IFERROR($BC12-$BD12,"")</f>
        <v/>
      </c>
      <c r="CL12" s="29">
        <f>IF($A12="","",IF($AM12&lt;='Study_Setup'!$B$19,1,0))</f>
        <v/>
      </c>
      <c r="CM12" s="29">
        <f>IF($A12="","",IF(AND($BZ12&gt;='Study_Setup'!$B$16,$CC12&gt;='Study_Setup'!$B$17,$CE12&gt;='Study_Setup'!$B$18,$CL12=1),1,0))</f>
        <v/>
      </c>
      <c r="CN12" s="61">
        <f>IFERROR(40*MIN(1,$BZ12/'Study_Setup'!$B$16)+25*MIN(1,$CC12/'Study_Setup'!$B$17)+25*MIN(1,$CE12/'Study_Setup'!$B$18)+10*$CL12,"")</f>
        <v/>
      </c>
      <c r="CO12">
        <f>IF('Pasted_Exports'!BX12&lt;&gt;"",'Pasted_Exports'!BX12,'File_Intake'!BX12)</f>
        <v/>
      </c>
      <c r="CP12" s="57">
        <f>IF('Pasted_Exports'!BY12&lt;&gt;"",'Pasted_Exports'!BY12,'File_Intake'!BY12)</f>
        <v/>
      </c>
      <c r="CQ12" s="57">
        <f>IF('Pasted_Exports'!BZ12&lt;&gt;"",'Pasted_Exports'!BZ12,'File_Intake'!BZ12)</f>
        <v/>
      </c>
      <c r="CR12" s="57">
        <f>IF('Pasted_Exports'!CA12&lt;&gt;"",'Pasted_Exports'!CA12,'File_Intake'!CA12)</f>
        <v/>
      </c>
      <c r="CS12" s="58">
        <f>IF('Pasted_Exports'!CB12&lt;&gt;"",'Pasted_Exports'!CB12,'File_Intake'!CB12)</f>
        <v/>
      </c>
      <c r="CT12" s="59">
        <f>IF('Pasted_Exports'!CC12&lt;&gt;"",'Pasted_Exports'!CC12,'File_Intake'!CC12)</f>
        <v/>
      </c>
      <c r="CU12">
        <f>IF('Pasted_Exports'!CD12&lt;&gt;"",'Pasted_Exports'!CD12,'File_Intake'!CD12)</f>
        <v/>
      </c>
      <c r="CV12">
        <f>IF('Pasted_Exports'!CE12&lt;&gt;"",'Pasted_Exports'!CE12,'File_Intake'!CE12)</f>
        <v/>
      </c>
      <c r="CW12" s="60">
        <f>IF('Pasted_Exports'!CF12&lt;&gt;"",'Pasted_Exports'!CF12,'File_Intake'!CF12)</f>
        <v/>
      </c>
      <c r="CX12" s="60">
        <f>IF('Pasted_Exports'!CG12&lt;&gt;"",'Pasted_Exports'!CG12,'File_Intake'!CG12)</f>
        <v/>
      </c>
      <c r="CY12">
        <f>IF('Pasted_Exports'!CH12&lt;&gt;"",'Pasted_Exports'!CH12,'File_Intake'!CH12)</f>
        <v/>
      </c>
    </row>
    <row r="13">
      <c r="A13" s="24">
        <f>IF('Pasted_Exports'!A13&lt;&gt;"",'Pasted_Exports'!A13,'File_Intake'!A13)</f>
        <v/>
      </c>
      <c r="B13" s="24">
        <f>IF('Pasted_Exports'!B13&lt;&gt;"",'Pasted_Exports'!B13,'File_Intake'!B13)</f>
        <v/>
      </c>
      <c r="C13" s="24">
        <f>IF('Pasted_Exports'!C13&lt;&gt;"",'Pasted_Exports'!C13,'File_Intake'!C13)</f>
        <v/>
      </c>
      <c r="D13" s="24">
        <f>IF('Pasted_Exports'!D13&lt;&gt;"",'Pasted_Exports'!D13,'File_Intake'!D13)</f>
        <v/>
      </c>
      <c r="E13" s="55">
        <f>IF('Pasted_Exports'!E13&lt;&gt;"",'Pasted_Exports'!E13,'File_Intake'!E13)</f>
        <v/>
      </c>
      <c r="F13" s="26">
        <f>IF('Pasted_Exports'!F13&lt;&gt;"",'Pasted_Exports'!F13,'File_Intake'!F13)</f>
        <v/>
      </c>
      <c r="G13" s="26">
        <f>IF('Pasted_Exports'!G13&lt;&gt;"",'Pasted_Exports'!G13,'File_Intake'!G13)</f>
        <v/>
      </c>
      <c r="H13" s="47">
        <f>IF('Pasted_Exports'!H13&lt;&gt;"",'Pasted_Exports'!H13,'File_Intake'!H13)</f>
        <v/>
      </c>
      <c r="I13" s="26">
        <f>IF('Pasted_Exports'!I13&lt;&gt;"",'Pasted_Exports'!I13,'File_Intake'!I13)</f>
        <v/>
      </c>
      <c r="J13" s="26">
        <f>IF('Pasted_Exports'!J13&lt;&gt;"",'Pasted_Exports'!J13,'File_Intake'!J13)</f>
        <v/>
      </c>
      <c r="K13" s="47">
        <f>IF('Pasted_Exports'!K13&lt;&gt;"",'Pasted_Exports'!K13,'File_Intake'!K13)</f>
        <v/>
      </c>
      <c r="L13" s="47">
        <f>IF('Pasted_Exports'!L13&lt;&gt;"",'Pasted_Exports'!L13,'File_Intake'!L13)</f>
        <v/>
      </c>
      <c r="M13" s="47">
        <f>IF('Pasted_Exports'!M13&lt;&gt;"",'Pasted_Exports'!M13,'File_Intake'!M13)</f>
        <v/>
      </c>
      <c r="N13" s="47">
        <f>IF('Pasted_Exports'!N13&lt;&gt;"",'Pasted_Exports'!N13,'File_Intake'!N13)</f>
        <v/>
      </c>
      <c r="O13" s="47">
        <f>IF('Pasted_Exports'!O13&lt;&gt;"",'Pasted_Exports'!O13,'File_Intake'!O13)</f>
        <v/>
      </c>
      <c r="P13" s="27">
        <f>IF('Pasted_Exports'!P13&lt;&gt;"",'Pasted_Exports'!P13,'File_Intake'!P13)</f>
        <v/>
      </c>
      <c r="Q13" s="27">
        <f>IF('Pasted_Exports'!Q13&lt;&gt;"",'Pasted_Exports'!Q13,'File_Intake'!Q13)</f>
        <v/>
      </c>
      <c r="R13" s="27">
        <f>IF('Pasted_Exports'!R13&lt;&gt;"",'Pasted_Exports'!R13,'File_Intake'!R13)</f>
        <v/>
      </c>
      <c r="S13" s="56">
        <f>IF('Pasted_Exports'!S13&lt;&gt;"",'Pasted_Exports'!S13,'File_Intake'!S13)</f>
        <v/>
      </c>
      <c r="T13" s="56">
        <f>IF('Pasted_Exports'!T13&lt;&gt;"",'Pasted_Exports'!T13,'File_Intake'!T13)</f>
        <v/>
      </c>
      <c r="U13" s="56">
        <f>IF('Pasted_Exports'!U13&lt;&gt;"",'Pasted_Exports'!U13,'File_Intake'!U13)</f>
        <v/>
      </c>
      <c r="V13" s="56">
        <f>IF('Pasted_Exports'!V13&lt;&gt;"",'Pasted_Exports'!V13,'File_Intake'!V13)</f>
        <v/>
      </c>
      <c r="W13" s="56">
        <f>IF('Pasted_Exports'!W13&lt;&gt;"",'Pasted_Exports'!W13,'File_Intake'!W13)</f>
        <v/>
      </c>
      <c r="X13" s="56">
        <f>IF('Pasted_Exports'!X13&lt;&gt;"",'Pasted_Exports'!X13,'File_Intake'!X13)</f>
        <v/>
      </c>
      <c r="Y13" s="56">
        <f>IF('Pasted_Exports'!Y13&lt;&gt;"",'Pasted_Exports'!Y13,'File_Intake'!Y13)</f>
        <v/>
      </c>
      <c r="Z13" s="56">
        <f>IF('Pasted_Exports'!Z13&lt;&gt;"",'Pasted_Exports'!Z13,'File_Intake'!Z13)</f>
        <v/>
      </c>
      <c r="AA13" s="56">
        <f>IF('Pasted_Exports'!AA13&lt;&gt;"",'Pasted_Exports'!AA13,'File_Intake'!AA13)</f>
        <v/>
      </c>
      <c r="AB13" s="56">
        <f>IF('Pasted_Exports'!AB13&lt;&gt;"",'Pasted_Exports'!AB13,'File_Intake'!AB13)</f>
        <v/>
      </c>
      <c r="AC13" s="56">
        <f>IF('Pasted_Exports'!AC13&lt;&gt;"",'Pasted_Exports'!AC13,'File_Intake'!AC13)</f>
        <v/>
      </c>
      <c r="AD13" s="56">
        <f>IF('Pasted_Exports'!AD13&lt;&gt;"",'Pasted_Exports'!AD13,'File_Intake'!AD13)</f>
        <v/>
      </c>
      <c r="AE13" s="56">
        <f>IF('Pasted_Exports'!AE13&lt;&gt;"",'Pasted_Exports'!AE13,'File_Intake'!AE13)</f>
        <v/>
      </c>
      <c r="AF13" s="56">
        <f>IF('Pasted_Exports'!AF13&lt;&gt;"",'Pasted_Exports'!AF13,'File_Intake'!AF13)</f>
        <v/>
      </c>
      <c r="AG13" s="56">
        <f>IF('Pasted_Exports'!AG13&lt;&gt;"",'Pasted_Exports'!AG13,'File_Intake'!AG13)</f>
        <v/>
      </c>
      <c r="AH13" s="27">
        <f>IF('Pasted_Exports'!AH13&lt;&gt;"",'Pasted_Exports'!AH13,'File_Intake'!AH13)</f>
        <v/>
      </c>
      <c r="AI13" s="27">
        <f>IF('Pasted_Exports'!AI13&lt;&gt;"",'Pasted_Exports'!AI13,'File_Intake'!AI13)</f>
        <v/>
      </c>
      <c r="AJ13" s="27">
        <f>IF('Pasted_Exports'!AJ13&lt;&gt;"",'Pasted_Exports'!AJ13,'File_Intake'!AJ13)</f>
        <v/>
      </c>
      <c r="AK13" s="27">
        <f>IF('Pasted_Exports'!AK13&lt;&gt;"",'Pasted_Exports'!AK13,'File_Intake'!AK13)</f>
        <v/>
      </c>
      <c r="AL13" s="27">
        <f>IF('Pasted_Exports'!AL13&lt;&gt;"",'Pasted_Exports'!AL13,'File_Intake'!AL13)</f>
        <v/>
      </c>
      <c r="AM13" s="27">
        <f>IF('Pasted_Exports'!AM13&lt;&gt;"",'Pasted_Exports'!AM13,'File_Intake'!AM13)</f>
        <v/>
      </c>
      <c r="AN13" s="27">
        <f>IF('Pasted_Exports'!AN13&lt;&gt;"",'Pasted_Exports'!AN13,'File_Intake'!AN13)</f>
        <v/>
      </c>
      <c r="AO13" s="27">
        <f>IF('Pasted_Exports'!AO13&lt;&gt;"",'Pasted_Exports'!AO13,'File_Intake'!AO13)</f>
        <v/>
      </c>
      <c r="AP13" s="27">
        <f>IF('Pasted_Exports'!AP13&lt;&gt;"",'Pasted_Exports'!AP13,'File_Intake'!AP13)</f>
        <v/>
      </c>
      <c r="AQ13" s="27">
        <f>IF('Pasted_Exports'!AQ13&lt;&gt;"",'Pasted_Exports'!AQ13,'File_Intake'!AQ13)</f>
        <v/>
      </c>
      <c r="AR13" s="27">
        <f>IF('Pasted_Exports'!AR13&lt;&gt;"",'Pasted_Exports'!AR13,'File_Intake'!AR13)</f>
        <v/>
      </c>
      <c r="AS13" s="27">
        <f>IF('Pasted_Exports'!AS13&lt;&gt;"",'Pasted_Exports'!AS13,'File_Intake'!AS13)</f>
        <v/>
      </c>
      <c r="AT13" s="47">
        <f>IF('Pasted_Exports'!AT13&lt;&gt;"",'Pasted_Exports'!AT13,'File_Intake'!AT13)</f>
        <v/>
      </c>
      <c r="AU13" s="47">
        <f>IF('Pasted_Exports'!AU13&lt;&gt;"",'Pasted_Exports'!AU13,'File_Intake'!AU13)</f>
        <v/>
      </c>
      <c r="AV13" s="47">
        <f>IF('Pasted_Exports'!AV13&lt;&gt;"",'Pasted_Exports'!AV13,'File_Intake'!AV13)</f>
        <v/>
      </c>
      <c r="AW13" s="56">
        <f>IF('Pasted_Exports'!AW13&lt;&gt;"",'Pasted_Exports'!AW13,'File_Intake'!AW13)</f>
        <v/>
      </c>
      <c r="AX13" s="56">
        <f>IF('Pasted_Exports'!AX13&lt;&gt;"",'Pasted_Exports'!AX13,'File_Intake'!AX13)</f>
        <v/>
      </c>
      <c r="AY13" s="56">
        <f>IF('Pasted_Exports'!AY13&lt;&gt;"",'Pasted_Exports'!AY13,'File_Intake'!AY13)</f>
        <v/>
      </c>
      <c r="AZ13" s="47">
        <f>IF('Pasted_Exports'!AZ13&lt;&gt;"",'Pasted_Exports'!AZ13,'File_Intake'!AZ13)</f>
        <v/>
      </c>
      <c r="BA13" s="47">
        <f>IF('Pasted_Exports'!BA13&lt;&gt;"",'Pasted_Exports'!BA13,'File_Intake'!BA13)</f>
        <v/>
      </c>
      <c r="BB13" s="47">
        <f>IF('Pasted_Exports'!BB13&lt;&gt;"",'Pasted_Exports'!BB13,'File_Intake'!BB13)</f>
        <v/>
      </c>
      <c r="BC13" s="27">
        <f>IF('Pasted_Exports'!BC13&lt;&gt;"",'Pasted_Exports'!BC13,'File_Intake'!BC13)</f>
        <v/>
      </c>
      <c r="BD13" s="27">
        <f>IF('Pasted_Exports'!BD13&lt;&gt;"",'Pasted_Exports'!BD13,'File_Intake'!BD13)</f>
        <v/>
      </c>
      <c r="BE13" s="27">
        <f>IF('Pasted_Exports'!BE13&lt;&gt;"",'Pasted_Exports'!BE13,'File_Intake'!BE13)</f>
        <v/>
      </c>
      <c r="BF13" s="47">
        <f>IF('Pasted_Exports'!BF13&lt;&gt;"",'Pasted_Exports'!BF13,'File_Intake'!BF13)</f>
        <v/>
      </c>
      <c r="BG13" s="47">
        <f>IF('Pasted_Exports'!BG13&lt;&gt;"",'Pasted_Exports'!BG13,'File_Intake'!BG13)</f>
        <v/>
      </c>
      <c r="BH13" s="47">
        <f>IF('Pasted_Exports'!BH13&lt;&gt;"",'Pasted_Exports'!BH13,'File_Intake'!BH13)</f>
        <v/>
      </c>
      <c r="BI13" s="47">
        <f>IF('Pasted_Exports'!BI13&lt;&gt;"",'Pasted_Exports'!BI13,'File_Intake'!BI13)</f>
        <v/>
      </c>
      <c r="BJ13" s="47">
        <f>IF('Pasted_Exports'!BJ13&lt;&gt;"",'Pasted_Exports'!BJ13,'File_Intake'!BJ13)</f>
        <v/>
      </c>
      <c r="BK13" s="47">
        <f>IF('Pasted_Exports'!BK13&lt;&gt;"",'Pasted_Exports'!BK13,'File_Intake'!BK13)</f>
        <v/>
      </c>
      <c r="BL13" s="47">
        <f>IF('Pasted_Exports'!BL13&lt;&gt;"",'Pasted_Exports'!BL13,'File_Intake'!BL13)</f>
        <v/>
      </c>
      <c r="BM13" s="47">
        <f>IF('Pasted_Exports'!BM13&lt;&gt;"",'Pasted_Exports'!BM13,'File_Intake'!BM13)</f>
        <v/>
      </c>
      <c r="BN13" s="47">
        <f>IF('Pasted_Exports'!BN13&lt;&gt;"",'Pasted_Exports'!BN13,'File_Intake'!BN13)</f>
        <v/>
      </c>
      <c r="BO13" s="47">
        <f>IF('Pasted_Exports'!BO13&lt;&gt;"",'Pasted_Exports'!BO13,'File_Intake'!BO13)</f>
        <v/>
      </c>
      <c r="BP13" s="47">
        <f>IF('Pasted_Exports'!BP13&lt;&gt;"",'Pasted_Exports'!BP13,'File_Intake'!BP13)</f>
        <v/>
      </c>
      <c r="BQ13" s="47">
        <f>IF('Pasted_Exports'!BQ13&lt;&gt;"",'Pasted_Exports'!BQ13,'File_Intake'!BQ13)</f>
        <v/>
      </c>
      <c r="BR13" s="47">
        <f>IF('Pasted_Exports'!BR13&lt;&gt;"",'Pasted_Exports'!BR13,'File_Intake'!BR13)</f>
        <v/>
      </c>
      <c r="BS13" s="47">
        <f>IF('Pasted_Exports'!BS13&lt;&gt;"",'Pasted_Exports'!BS13,'File_Intake'!BS13)</f>
        <v/>
      </c>
      <c r="BT13" s="47">
        <f>IF('Pasted_Exports'!BT13&lt;&gt;"",'Pasted_Exports'!BT13,'File_Intake'!BT13)</f>
        <v/>
      </c>
      <c r="BU13" s="47">
        <f>IF('Pasted_Exports'!BU13&lt;&gt;"",'Pasted_Exports'!BU13,'File_Intake'!BU13)</f>
        <v/>
      </c>
      <c r="BV13" s="47">
        <f>IF('Pasted_Exports'!BV13&lt;&gt;"",'Pasted_Exports'!BV13,'File_Intake'!BV13)</f>
        <v/>
      </c>
      <c r="BW13" s="47">
        <f>IF('Pasted_Exports'!BW13&lt;&gt;"",'Pasted_Exports'!BW13,'File_Intake'!BW13)</f>
        <v/>
      </c>
      <c r="BX13" s="29">
        <f>IF(AND($A13&lt;&gt;"",$B13&lt;&gt;"",$K13&gt;='Study_Setup'!$B$14,$L13&gt;='Study_Setup'!$B$15),1,0)</f>
        <v/>
      </c>
      <c r="BY13" s="30">
        <f>IF($A13="","",TEXTJOIN("; ",TRUE,IF($B13="","Missing arm",""),IF($K13&lt;'Study_Setup'!$B$14,"Low off-days",""),IF($L13&lt;'Study_Setup'!$B$15,"Low on-days",""),IF($AM13&gt;'Study_Setup'!$B$19,"Hypo burden increased","")))</f>
        <v/>
      </c>
      <c r="BZ13" s="61">
        <f>IFERROR($M13-$N13,"")</f>
        <v/>
      </c>
      <c r="CA13" s="62">
        <f>IFERROR(($M13-$N13)/$M13,"")</f>
        <v/>
      </c>
      <c r="CB13" s="33">
        <f>IFERROR($P13-$Q13,"")</f>
        <v/>
      </c>
      <c r="CC13" s="63">
        <f>IFERROR($T13-$S13,"")</f>
        <v/>
      </c>
      <c r="CD13" s="33">
        <f>IFERROR($AH13-$AI13,"")</f>
        <v/>
      </c>
      <c r="CE13" s="62">
        <f>IFERROR(($AH13-$AI13)/$AH13,"")</f>
        <v/>
      </c>
      <c r="CF13" s="33">
        <f>IFERROR($AQ13-$AR13,"")</f>
        <v/>
      </c>
      <c r="CG13" s="61">
        <f>IFERROR($BO13-$BP13,"")</f>
        <v/>
      </c>
      <c r="CH13" s="61">
        <f>IFERROR($BI13-$BJ13,"")</f>
        <v/>
      </c>
      <c r="CI13" s="61">
        <f>IFERROR($BL13-$BM13,"")</f>
        <v/>
      </c>
      <c r="CJ13" s="61">
        <f>IFERROR($BF13-$BG13,"")</f>
        <v/>
      </c>
      <c r="CK13" s="33">
        <f>IFERROR($BC13-$BD13,"")</f>
        <v/>
      </c>
      <c r="CL13" s="29">
        <f>IF($A13="","",IF($AM13&lt;='Study_Setup'!$B$19,1,0))</f>
        <v/>
      </c>
      <c r="CM13" s="29">
        <f>IF($A13="","",IF(AND($BZ13&gt;='Study_Setup'!$B$16,$CC13&gt;='Study_Setup'!$B$17,$CE13&gt;='Study_Setup'!$B$18,$CL13=1),1,0))</f>
        <v/>
      </c>
      <c r="CN13" s="61">
        <f>IFERROR(40*MIN(1,$BZ13/'Study_Setup'!$B$16)+25*MIN(1,$CC13/'Study_Setup'!$B$17)+25*MIN(1,$CE13/'Study_Setup'!$B$18)+10*$CL13,"")</f>
        <v/>
      </c>
      <c r="CO13">
        <f>IF('Pasted_Exports'!BX13&lt;&gt;"",'Pasted_Exports'!BX13,'File_Intake'!BX13)</f>
        <v/>
      </c>
      <c r="CP13" s="57">
        <f>IF('Pasted_Exports'!BY13&lt;&gt;"",'Pasted_Exports'!BY13,'File_Intake'!BY13)</f>
        <v/>
      </c>
      <c r="CQ13" s="57">
        <f>IF('Pasted_Exports'!BZ13&lt;&gt;"",'Pasted_Exports'!BZ13,'File_Intake'!BZ13)</f>
        <v/>
      </c>
      <c r="CR13" s="57">
        <f>IF('Pasted_Exports'!CA13&lt;&gt;"",'Pasted_Exports'!CA13,'File_Intake'!CA13)</f>
        <v/>
      </c>
      <c r="CS13" s="58">
        <f>IF('Pasted_Exports'!CB13&lt;&gt;"",'Pasted_Exports'!CB13,'File_Intake'!CB13)</f>
        <v/>
      </c>
      <c r="CT13" s="59">
        <f>IF('Pasted_Exports'!CC13&lt;&gt;"",'Pasted_Exports'!CC13,'File_Intake'!CC13)</f>
        <v/>
      </c>
      <c r="CU13">
        <f>IF('Pasted_Exports'!CD13&lt;&gt;"",'Pasted_Exports'!CD13,'File_Intake'!CD13)</f>
        <v/>
      </c>
      <c r="CV13">
        <f>IF('Pasted_Exports'!CE13&lt;&gt;"",'Pasted_Exports'!CE13,'File_Intake'!CE13)</f>
        <v/>
      </c>
      <c r="CW13" s="60">
        <f>IF('Pasted_Exports'!CF13&lt;&gt;"",'Pasted_Exports'!CF13,'File_Intake'!CF13)</f>
        <v/>
      </c>
      <c r="CX13" s="60">
        <f>IF('Pasted_Exports'!CG13&lt;&gt;"",'Pasted_Exports'!CG13,'File_Intake'!CG13)</f>
        <v/>
      </c>
      <c r="CY13">
        <f>IF('Pasted_Exports'!CH13&lt;&gt;"",'Pasted_Exports'!CH13,'File_Intake'!CH13)</f>
        <v/>
      </c>
    </row>
    <row r="14">
      <c r="A14" s="24">
        <f>IF('Pasted_Exports'!A14&lt;&gt;"",'Pasted_Exports'!A14,'File_Intake'!A14)</f>
        <v/>
      </c>
      <c r="B14" s="24">
        <f>IF('Pasted_Exports'!B14&lt;&gt;"",'Pasted_Exports'!B14,'File_Intake'!B14)</f>
        <v/>
      </c>
      <c r="C14" s="24">
        <f>IF('Pasted_Exports'!C14&lt;&gt;"",'Pasted_Exports'!C14,'File_Intake'!C14)</f>
        <v/>
      </c>
      <c r="D14" s="24">
        <f>IF('Pasted_Exports'!D14&lt;&gt;"",'Pasted_Exports'!D14,'File_Intake'!D14)</f>
        <v/>
      </c>
      <c r="E14" s="55">
        <f>IF('Pasted_Exports'!E14&lt;&gt;"",'Pasted_Exports'!E14,'File_Intake'!E14)</f>
        <v/>
      </c>
      <c r="F14" s="26">
        <f>IF('Pasted_Exports'!F14&lt;&gt;"",'Pasted_Exports'!F14,'File_Intake'!F14)</f>
        <v/>
      </c>
      <c r="G14" s="26">
        <f>IF('Pasted_Exports'!G14&lt;&gt;"",'Pasted_Exports'!G14,'File_Intake'!G14)</f>
        <v/>
      </c>
      <c r="H14" s="47">
        <f>IF('Pasted_Exports'!H14&lt;&gt;"",'Pasted_Exports'!H14,'File_Intake'!H14)</f>
        <v/>
      </c>
      <c r="I14" s="26">
        <f>IF('Pasted_Exports'!I14&lt;&gt;"",'Pasted_Exports'!I14,'File_Intake'!I14)</f>
        <v/>
      </c>
      <c r="J14" s="26">
        <f>IF('Pasted_Exports'!J14&lt;&gt;"",'Pasted_Exports'!J14,'File_Intake'!J14)</f>
        <v/>
      </c>
      <c r="K14" s="47">
        <f>IF('Pasted_Exports'!K14&lt;&gt;"",'Pasted_Exports'!K14,'File_Intake'!K14)</f>
        <v/>
      </c>
      <c r="L14" s="47">
        <f>IF('Pasted_Exports'!L14&lt;&gt;"",'Pasted_Exports'!L14,'File_Intake'!L14)</f>
        <v/>
      </c>
      <c r="M14" s="47">
        <f>IF('Pasted_Exports'!M14&lt;&gt;"",'Pasted_Exports'!M14,'File_Intake'!M14)</f>
        <v/>
      </c>
      <c r="N14" s="47">
        <f>IF('Pasted_Exports'!N14&lt;&gt;"",'Pasted_Exports'!N14,'File_Intake'!N14)</f>
        <v/>
      </c>
      <c r="O14" s="47">
        <f>IF('Pasted_Exports'!O14&lt;&gt;"",'Pasted_Exports'!O14,'File_Intake'!O14)</f>
        <v/>
      </c>
      <c r="P14" s="27">
        <f>IF('Pasted_Exports'!P14&lt;&gt;"",'Pasted_Exports'!P14,'File_Intake'!P14)</f>
        <v/>
      </c>
      <c r="Q14" s="27">
        <f>IF('Pasted_Exports'!Q14&lt;&gt;"",'Pasted_Exports'!Q14,'File_Intake'!Q14)</f>
        <v/>
      </c>
      <c r="R14" s="27">
        <f>IF('Pasted_Exports'!R14&lt;&gt;"",'Pasted_Exports'!R14,'File_Intake'!R14)</f>
        <v/>
      </c>
      <c r="S14" s="56">
        <f>IF('Pasted_Exports'!S14&lt;&gt;"",'Pasted_Exports'!S14,'File_Intake'!S14)</f>
        <v/>
      </c>
      <c r="T14" s="56">
        <f>IF('Pasted_Exports'!T14&lt;&gt;"",'Pasted_Exports'!T14,'File_Intake'!T14)</f>
        <v/>
      </c>
      <c r="U14" s="56">
        <f>IF('Pasted_Exports'!U14&lt;&gt;"",'Pasted_Exports'!U14,'File_Intake'!U14)</f>
        <v/>
      </c>
      <c r="V14" s="56">
        <f>IF('Pasted_Exports'!V14&lt;&gt;"",'Pasted_Exports'!V14,'File_Intake'!V14)</f>
        <v/>
      </c>
      <c r="W14" s="56">
        <f>IF('Pasted_Exports'!W14&lt;&gt;"",'Pasted_Exports'!W14,'File_Intake'!W14)</f>
        <v/>
      </c>
      <c r="X14" s="56">
        <f>IF('Pasted_Exports'!X14&lt;&gt;"",'Pasted_Exports'!X14,'File_Intake'!X14)</f>
        <v/>
      </c>
      <c r="Y14" s="56">
        <f>IF('Pasted_Exports'!Y14&lt;&gt;"",'Pasted_Exports'!Y14,'File_Intake'!Y14)</f>
        <v/>
      </c>
      <c r="Z14" s="56">
        <f>IF('Pasted_Exports'!Z14&lt;&gt;"",'Pasted_Exports'!Z14,'File_Intake'!Z14)</f>
        <v/>
      </c>
      <c r="AA14" s="56">
        <f>IF('Pasted_Exports'!AA14&lt;&gt;"",'Pasted_Exports'!AA14,'File_Intake'!AA14)</f>
        <v/>
      </c>
      <c r="AB14" s="56">
        <f>IF('Pasted_Exports'!AB14&lt;&gt;"",'Pasted_Exports'!AB14,'File_Intake'!AB14)</f>
        <v/>
      </c>
      <c r="AC14" s="56">
        <f>IF('Pasted_Exports'!AC14&lt;&gt;"",'Pasted_Exports'!AC14,'File_Intake'!AC14)</f>
        <v/>
      </c>
      <c r="AD14" s="56">
        <f>IF('Pasted_Exports'!AD14&lt;&gt;"",'Pasted_Exports'!AD14,'File_Intake'!AD14)</f>
        <v/>
      </c>
      <c r="AE14" s="56">
        <f>IF('Pasted_Exports'!AE14&lt;&gt;"",'Pasted_Exports'!AE14,'File_Intake'!AE14)</f>
        <v/>
      </c>
      <c r="AF14" s="56">
        <f>IF('Pasted_Exports'!AF14&lt;&gt;"",'Pasted_Exports'!AF14,'File_Intake'!AF14)</f>
        <v/>
      </c>
      <c r="AG14" s="56">
        <f>IF('Pasted_Exports'!AG14&lt;&gt;"",'Pasted_Exports'!AG14,'File_Intake'!AG14)</f>
        <v/>
      </c>
      <c r="AH14" s="27">
        <f>IF('Pasted_Exports'!AH14&lt;&gt;"",'Pasted_Exports'!AH14,'File_Intake'!AH14)</f>
        <v/>
      </c>
      <c r="AI14" s="27">
        <f>IF('Pasted_Exports'!AI14&lt;&gt;"",'Pasted_Exports'!AI14,'File_Intake'!AI14)</f>
        <v/>
      </c>
      <c r="AJ14" s="27">
        <f>IF('Pasted_Exports'!AJ14&lt;&gt;"",'Pasted_Exports'!AJ14,'File_Intake'!AJ14)</f>
        <v/>
      </c>
      <c r="AK14" s="27">
        <f>IF('Pasted_Exports'!AK14&lt;&gt;"",'Pasted_Exports'!AK14,'File_Intake'!AK14)</f>
        <v/>
      </c>
      <c r="AL14" s="27">
        <f>IF('Pasted_Exports'!AL14&lt;&gt;"",'Pasted_Exports'!AL14,'File_Intake'!AL14)</f>
        <v/>
      </c>
      <c r="AM14" s="27">
        <f>IF('Pasted_Exports'!AM14&lt;&gt;"",'Pasted_Exports'!AM14,'File_Intake'!AM14)</f>
        <v/>
      </c>
      <c r="AN14" s="27">
        <f>IF('Pasted_Exports'!AN14&lt;&gt;"",'Pasted_Exports'!AN14,'File_Intake'!AN14)</f>
        <v/>
      </c>
      <c r="AO14" s="27">
        <f>IF('Pasted_Exports'!AO14&lt;&gt;"",'Pasted_Exports'!AO14,'File_Intake'!AO14)</f>
        <v/>
      </c>
      <c r="AP14" s="27">
        <f>IF('Pasted_Exports'!AP14&lt;&gt;"",'Pasted_Exports'!AP14,'File_Intake'!AP14)</f>
        <v/>
      </c>
      <c r="AQ14" s="27">
        <f>IF('Pasted_Exports'!AQ14&lt;&gt;"",'Pasted_Exports'!AQ14,'File_Intake'!AQ14)</f>
        <v/>
      </c>
      <c r="AR14" s="27">
        <f>IF('Pasted_Exports'!AR14&lt;&gt;"",'Pasted_Exports'!AR14,'File_Intake'!AR14)</f>
        <v/>
      </c>
      <c r="AS14" s="27">
        <f>IF('Pasted_Exports'!AS14&lt;&gt;"",'Pasted_Exports'!AS14,'File_Intake'!AS14)</f>
        <v/>
      </c>
      <c r="AT14" s="47">
        <f>IF('Pasted_Exports'!AT14&lt;&gt;"",'Pasted_Exports'!AT14,'File_Intake'!AT14)</f>
        <v/>
      </c>
      <c r="AU14" s="47">
        <f>IF('Pasted_Exports'!AU14&lt;&gt;"",'Pasted_Exports'!AU14,'File_Intake'!AU14)</f>
        <v/>
      </c>
      <c r="AV14" s="47">
        <f>IF('Pasted_Exports'!AV14&lt;&gt;"",'Pasted_Exports'!AV14,'File_Intake'!AV14)</f>
        <v/>
      </c>
      <c r="AW14" s="56">
        <f>IF('Pasted_Exports'!AW14&lt;&gt;"",'Pasted_Exports'!AW14,'File_Intake'!AW14)</f>
        <v/>
      </c>
      <c r="AX14" s="56">
        <f>IF('Pasted_Exports'!AX14&lt;&gt;"",'Pasted_Exports'!AX14,'File_Intake'!AX14)</f>
        <v/>
      </c>
      <c r="AY14" s="56">
        <f>IF('Pasted_Exports'!AY14&lt;&gt;"",'Pasted_Exports'!AY14,'File_Intake'!AY14)</f>
        <v/>
      </c>
      <c r="AZ14" s="47">
        <f>IF('Pasted_Exports'!AZ14&lt;&gt;"",'Pasted_Exports'!AZ14,'File_Intake'!AZ14)</f>
        <v/>
      </c>
      <c r="BA14" s="47">
        <f>IF('Pasted_Exports'!BA14&lt;&gt;"",'Pasted_Exports'!BA14,'File_Intake'!BA14)</f>
        <v/>
      </c>
      <c r="BB14" s="47">
        <f>IF('Pasted_Exports'!BB14&lt;&gt;"",'Pasted_Exports'!BB14,'File_Intake'!BB14)</f>
        <v/>
      </c>
      <c r="BC14" s="27">
        <f>IF('Pasted_Exports'!BC14&lt;&gt;"",'Pasted_Exports'!BC14,'File_Intake'!BC14)</f>
        <v/>
      </c>
      <c r="BD14" s="27">
        <f>IF('Pasted_Exports'!BD14&lt;&gt;"",'Pasted_Exports'!BD14,'File_Intake'!BD14)</f>
        <v/>
      </c>
      <c r="BE14" s="27">
        <f>IF('Pasted_Exports'!BE14&lt;&gt;"",'Pasted_Exports'!BE14,'File_Intake'!BE14)</f>
        <v/>
      </c>
      <c r="BF14" s="47">
        <f>IF('Pasted_Exports'!BF14&lt;&gt;"",'Pasted_Exports'!BF14,'File_Intake'!BF14)</f>
        <v/>
      </c>
      <c r="BG14" s="47">
        <f>IF('Pasted_Exports'!BG14&lt;&gt;"",'Pasted_Exports'!BG14,'File_Intake'!BG14)</f>
        <v/>
      </c>
      <c r="BH14" s="47">
        <f>IF('Pasted_Exports'!BH14&lt;&gt;"",'Pasted_Exports'!BH14,'File_Intake'!BH14)</f>
        <v/>
      </c>
      <c r="BI14" s="47">
        <f>IF('Pasted_Exports'!BI14&lt;&gt;"",'Pasted_Exports'!BI14,'File_Intake'!BI14)</f>
        <v/>
      </c>
      <c r="BJ14" s="47">
        <f>IF('Pasted_Exports'!BJ14&lt;&gt;"",'Pasted_Exports'!BJ14,'File_Intake'!BJ14)</f>
        <v/>
      </c>
      <c r="BK14" s="47">
        <f>IF('Pasted_Exports'!BK14&lt;&gt;"",'Pasted_Exports'!BK14,'File_Intake'!BK14)</f>
        <v/>
      </c>
      <c r="BL14" s="47">
        <f>IF('Pasted_Exports'!BL14&lt;&gt;"",'Pasted_Exports'!BL14,'File_Intake'!BL14)</f>
        <v/>
      </c>
      <c r="BM14" s="47">
        <f>IF('Pasted_Exports'!BM14&lt;&gt;"",'Pasted_Exports'!BM14,'File_Intake'!BM14)</f>
        <v/>
      </c>
      <c r="BN14" s="47">
        <f>IF('Pasted_Exports'!BN14&lt;&gt;"",'Pasted_Exports'!BN14,'File_Intake'!BN14)</f>
        <v/>
      </c>
      <c r="BO14" s="47">
        <f>IF('Pasted_Exports'!BO14&lt;&gt;"",'Pasted_Exports'!BO14,'File_Intake'!BO14)</f>
        <v/>
      </c>
      <c r="BP14" s="47">
        <f>IF('Pasted_Exports'!BP14&lt;&gt;"",'Pasted_Exports'!BP14,'File_Intake'!BP14)</f>
        <v/>
      </c>
      <c r="BQ14" s="47">
        <f>IF('Pasted_Exports'!BQ14&lt;&gt;"",'Pasted_Exports'!BQ14,'File_Intake'!BQ14)</f>
        <v/>
      </c>
      <c r="BR14" s="47">
        <f>IF('Pasted_Exports'!BR14&lt;&gt;"",'Pasted_Exports'!BR14,'File_Intake'!BR14)</f>
        <v/>
      </c>
      <c r="BS14" s="47">
        <f>IF('Pasted_Exports'!BS14&lt;&gt;"",'Pasted_Exports'!BS14,'File_Intake'!BS14)</f>
        <v/>
      </c>
      <c r="BT14" s="47">
        <f>IF('Pasted_Exports'!BT14&lt;&gt;"",'Pasted_Exports'!BT14,'File_Intake'!BT14)</f>
        <v/>
      </c>
      <c r="BU14" s="47">
        <f>IF('Pasted_Exports'!BU14&lt;&gt;"",'Pasted_Exports'!BU14,'File_Intake'!BU14)</f>
        <v/>
      </c>
      <c r="BV14" s="47">
        <f>IF('Pasted_Exports'!BV14&lt;&gt;"",'Pasted_Exports'!BV14,'File_Intake'!BV14)</f>
        <v/>
      </c>
      <c r="BW14" s="47">
        <f>IF('Pasted_Exports'!BW14&lt;&gt;"",'Pasted_Exports'!BW14,'File_Intake'!BW14)</f>
        <v/>
      </c>
      <c r="BX14" s="29">
        <f>IF(AND($A14&lt;&gt;"",$B14&lt;&gt;"",$K14&gt;='Study_Setup'!$B$14,$L14&gt;='Study_Setup'!$B$15),1,0)</f>
        <v/>
      </c>
      <c r="BY14" s="30">
        <f>IF($A14="","",TEXTJOIN("; ",TRUE,IF($B14="","Missing arm",""),IF($K14&lt;'Study_Setup'!$B$14,"Low off-days",""),IF($L14&lt;'Study_Setup'!$B$15,"Low on-days",""),IF($AM14&gt;'Study_Setup'!$B$19,"Hypo burden increased","")))</f>
        <v/>
      </c>
      <c r="BZ14" s="61">
        <f>IFERROR($M14-$N14,"")</f>
        <v/>
      </c>
      <c r="CA14" s="62">
        <f>IFERROR(($M14-$N14)/$M14,"")</f>
        <v/>
      </c>
      <c r="CB14" s="33">
        <f>IFERROR($P14-$Q14,"")</f>
        <v/>
      </c>
      <c r="CC14" s="63">
        <f>IFERROR($T14-$S14,"")</f>
        <v/>
      </c>
      <c r="CD14" s="33">
        <f>IFERROR($AH14-$AI14,"")</f>
        <v/>
      </c>
      <c r="CE14" s="62">
        <f>IFERROR(($AH14-$AI14)/$AH14,"")</f>
        <v/>
      </c>
      <c r="CF14" s="33">
        <f>IFERROR($AQ14-$AR14,"")</f>
        <v/>
      </c>
      <c r="CG14" s="61">
        <f>IFERROR($BO14-$BP14,"")</f>
        <v/>
      </c>
      <c r="CH14" s="61">
        <f>IFERROR($BI14-$BJ14,"")</f>
        <v/>
      </c>
      <c r="CI14" s="61">
        <f>IFERROR($BL14-$BM14,"")</f>
        <v/>
      </c>
      <c r="CJ14" s="61">
        <f>IFERROR($BF14-$BG14,"")</f>
        <v/>
      </c>
      <c r="CK14" s="33">
        <f>IFERROR($BC14-$BD14,"")</f>
        <v/>
      </c>
      <c r="CL14" s="29">
        <f>IF($A14="","",IF($AM14&lt;='Study_Setup'!$B$19,1,0))</f>
        <v/>
      </c>
      <c r="CM14" s="29">
        <f>IF($A14="","",IF(AND($BZ14&gt;='Study_Setup'!$B$16,$CC14&gt;='Study_Setup'!$B$17,$CE14&gt;='Study_Setup'!$B$18,$CL14=1),1,0))</f>
        <v/>
      </c>
      <c r="CN14" s="61">
        <f>IFERROR(40*MIN(1,$BZ14/'Study_Setup'!$B$16)+25*MIN(1,$CC14/'Study_Setup'!$B$17)+25*MIN(1,$CE14/'Study_Setup'!$B$18)+10*$CL14,"")</f>
        <v/>
      </c>
      <c r="CO14">
        <f>IF('Pasted_Exports'!BX14&lt;&gt;"",'Pasted_Exports'!BX14,'File_Intake'!BX14)</f>
        <v/>
      </c>
      <c r="CP14" s="57">
        <f>IF('Pasted_Exports'!BY14&lt;&gt;"",'Pasted_Exports'!BY14,'File_Intake'!BY14)</f>
        <v/>
      </c>
      <c r="CQ14" s="57">
        <f>IF('Pasted_Exports'!BZ14&lt;&gt;"",'Pasted_Exports'!BZ14,'File_Intake'!BZ14)</f>
        <v/>
      </c>
      <c r="CR14" s="57">
        <f>IF('Pasted_Exports'!CA14&lt;&gt;"",'Pasted_Exports'!CA14,'File_Intake'!CA14)</f>
        <v/>
      </c>
      <c r="CS14" s="58">
        <f>IF('Pasted_Exports'!CB14&lt;&gt;"",'Pasted_Exports'!CB14,'File_Intake'!CB14)</f>
        <v/>
      </c>
      <c r="CT14" s="59">
        <f>IF('Pasted_Exports'!CC14&lt;&gt;"",'Pasted_Exports'!CC14,'File_Intake'!CC14)</f>
        <v/>
      </c>
      <c r="CU14">
        <f>IF('Pasted_Exports'!CD14&lt;&gt;"",'Pasted_Exports'!CD14,'File_Intake'!CD14)</f>
        <v/>
      </c>
      <c r="CV14">
        <f>IF('Pasted_Exports'!CE14&lt;&gt;"",'Pasted_Exports'!CE14,'File_Intake'!CE14)</f>
        <v/>
      </c>
      <c r="CW14" s="60">
        <f>IF('Pasted_Exports'!CF14&lt;&gt;"",'Pasted_Exports'!CF14,'File_Intake'!CF14)</f>
        <v/>
      </c>
      <c r="CX14" s="60">
        <f>IF('Pasted_Exports'!CG14&lt;&gt;"",'Pasted_Exports'!CG14,'File_Intake'!CG14)</f>
        <v/>
      </c>
      <c r="CY14">
        <f>IF('Pasted_Exports'!CH14&lt;&gt;"",'Pasted_Exports'!CH14,'File_Intake'!CH14)</f>
        <v/>
      </c>
    </row>
    <row r="15">
      <c r="A15" s="24">
        <f>IF('Pasted_Exports'!A15&lt;&gt;"",'Pasted_Exports'!A15,'File_Intake'!A15)</f>
        <v/>
      </c>
      <c r="B15" s="24">
        <f>IF('Pasted_Exports'!B15&lt;&gt;"",'Pasted_Exports'!B15,'File_Intake'!B15)</f>
        <v/>
      </c>
      <c r="C15" s="24">
        <f>IF('Pasted_Exports'!C15&lt;&gt;"",'Pasted_Exports'!C15,'File_Intake'!C15)</f>
        <v/>
      </c>
      <c r="D15" s="24">
        <f>IF('Pasted_Exports'!D15&lt;&gt;"",'Pasted_Exports'!D15,'File_Intake'!D15)</f>
        <v/>
      </c>
      <c r="E15" s="55">
        <f>IF('Pasted_Exports'!E15&lt;&gt;"",'Pasted_Exports'!E15,'File_Intake'!E15)</f>
        <v/>
      </c>
      <c r="F15" s="26">
        <f>IF('Pasted_Exports'!F15&lt;&gt;"",'Pasted_Exports'!F15,'File_Intake'!F15)</f>
        <v/>
      </c>
      <c r="G15" s="26">
        <f>IF('Pasted_Exports'!G15&lt;&gt;"",'Pasted_Exports'!G15,'File_Intake'!G15)</f>
        <v/>
      </c>
      <c r="H15" s="47">
        <f>IF('Pasted_Exports'!H15&lt;&gt;"",'Pasted_Exports'!H15,'File_Intake'!H15)</f>
        <v/>
      </c>
      <c r="I15" s="26">
        <f>IF('Pasted_Exports'!I15&lt;&gt;"",'Pasted_Exports'!I15,'File_Intake'!I15)</f>
        <v/>
      </c>
      <c r="J15" s="26">
        <f>IF('Pasted_Exports'!J15&lt;&gt;"",'Pasted_Exports'!J15,'File_Intake'!J15)</f>
        <v/>
      </c>
      <c r="K15" s="47">
        <f>IF('Pasted_Exports'!K15&lt;&gt;"",'Pasted_Exports'!K15,'File_Intake'!K15)</f>
        <v/>
      </c>
      <c r="L15" s="47">
        <f>IF('Pasted_Exports'!L15&lt;&gt;"",'Pasted_Exports'!L15,'File_Intake'!L15)</f>
        <v/>
      </c>
      <c r="M15" s="47">
        <f>IF('Pasted_Exports'!M15&lt;&gt;"",'Pasted_Exports'!M15,'File_Intake'!M15)</f>
        <v/>
      </c>
      <c r="N15" s="47">
        <f>IF('Pasted_Exports'!N15&lt;&gt;"",'Pasted_Exports'!N15,'File_Intake'!N15)</f>
        <v/>
      </c>
      <c r="O15" s="47">
        <f>IF('Pasted_Exports'!O15&lt;&gt;"",'Pasted_Exports'!O15,'File_Intake'!O15)</f>
        <v/>
      </c>
      <c r="P15" s="27">
        <f>IF('Pasted_Exports'!P15&lt;&gt;"",'Pasted_Exports'!P15,'File_Intake'!P15)</f>
        <v/>
      </c>
      <c r="Q15" s="27">
        <f>IF('Pasted_Exports'!Q15&lt;&gt;"",'Pasted_Exports'!Q15,'File_Intake'!Q15)</f>
        <v/>
      </c>
      <c r="R15" s="27">
        <f>IF('Pasted_Exports'!R15&lt;&gt;"",'Pasted_Exports'!R15,'File_Intake'!R15)</f>
        <v/>
      </c>
      <c r="S15" s="56">
        <f>IF('Pasted_Exports'!S15&lt;&gt;"",'Pasted_Exports'!S15,'File_Intake'!S15)</f>
        <v/>
      </c>
      <c r="T15" s="56">
        <f>IF('Pasted_Exports'!T15&lt;&gt;"",'Pasted_Exports'!T15,'File_Intake'!T15)</f>
        <v/>
      </c>
      <c r="U15" s="56">
        <f>IF('Pasted_Exports'!U15&lt;&gt;"",'Pasted_Exports'!U15,'File_Intake'!U15)</f>
        <v/>
      </c>
      <c r="V15" s="56">
        <f>IF('Pasted_Exports'!V15&lt;&gt;"",'Pasted_Exports'!V15,'File_Intake'!V15)</f>
        <v/>
      </c>
      <c r="W15" s="56">
        <f>IF('Pasted_Exports'!W15&lt;&gt;"",'Pasted_Exports'!W15,'File_Intake'!W15)</f>
        <v/>
      </c>
      <c r="X15" s="56">
        <f>IF('Pasted_Exports'!X15&lt;&gt;"",'Pasted_Exports'!X15,'File_Intake'!X15)</f>
        <v/>
      </c>
      <c r="Y15" s="56">
        <f>IF('Pasted_Exports'!Y15&lt;&gt;"",'Pasted_Exports'!Y15,'File_Intake'!Y15)</f>
        <v/>
      </c>
      <c r="Z15" s="56">
        <f>IF('Pasted_Exports'!Z15&lt;&gt;"",'Pasted_Exports'!Z15,'File_Intake'!Z15)</f>
        <v/>
      </c>
      <c r="AA15" s="56">
        <f>IF('Pasted_Exports'!AA15&lt;&gt;"",'Pasted_Exports'!AA15,'File_Intake'!AA15)</f>
        <v/>
      </c>
      <c r="AB15" s="56">
        <f>IF('Pasted_Exports'!AB15&lt;&gt;"",'Pasted_Exports'!AB15,'File_Intake'!AB15)</f>
        <v/>
      </c>
      <c r="AC15" s="56">
        <f>IF('Pasted_Exports'!AC15&lt;&gt;"",'Pasted_Exports'!AC15,'File_Intake'!AC15)</f>
        <v/>
      </c>
      <c r="AD15" s="56">
        <f>IF('Pasted_Exports'!AD15&lt;&gt;"",'Pasted_Exports'!AD15,'File_Intake'!AD15)</f>
        <v/>
      </c>
      <c r="AE15" s="56">
        <f>IF('Pasted_Exports'!AE15&lt;&gt;"",'Pasted_Exports'!AE15,'File_Intake'!AE15)</f>
        <v/>
      </c>
      <c r="AF15" s="56">
        <f>IF('Pasted_Exports'!AF15&lt;&gt;"",'Pasted_Exports'!AF15,'File_Intake'!AF15)</f>
        <v/>
      </c>
      <c r="AG15" s="56">
        <f>IF('Pasted_Exports'!AG15&lt;&gt;"",'Pasted_Exports'!AG15,'File_Intake'!AG15)</f>
        <v/>
      </c>
      <c r="AH15" s="27">
        <f>IF('Pasted_Exports'!AH15&lt;&gt;"",'Pasted_Exports'!AH15,'File_Intake'!AH15)</f>
        <v/>
      </c>
      <c r="AI15" s="27">
        <f>IF('Pasted_Exports'!AI15&lt;&gt;"",'Pasted_Exports'!AI15,'File_Intake'!AI15)</f>
        <v/>
      </c>
      <c r="AJ15" s="27">
        <f>IF('Pasted_Exports'!AJ15&lt;&gt;"",'Pasted_Exports'!AJ15,'File_Intake'!AJ15)</f>
        <v/>
      </c>
      <c r="AK15" s="27">
        <f>IF('Pasted_Exports'!AK15&lt;&gt;"",'Pasted_Exports'!AK15,'File_Intake'!AK15)</f>
        <v/>
      </c>
      <c r="AL15" s="27">
        <f>IF('Pasted_Exports'!AL15&lt;&gt;"",'Pasted_Exports'!AL15,'File_Intake'!AL15)</f>
        <v/>
      </c>
      <c r="AM15" s="27">
        <f>IF('Pasted_Exports'!AM15&lt;&gt;"",'Pasted_Exports'!AM15,'File_Intake'!AM15)</f>
        <v/>
      </c>
      <c r="AN15" s="27">
        <f>IF('Pasted_Exports'!AN15&lt;&gt;"",'Pasted_Exports'!AN15,'File_Intake'!AN15)</f>
        <v/>
      </c>
      <c r="AO15" s="27">
        <f>IF('Pasted_Exports'!AO15&lt;&gt;"",'Pasted_Exports'!AO15,'File_Intake'!AO15)</f>
        <v/>
      </c>
      <c r="AP15" s="27">
        <f>IF('Pasted_Exports'!AP15&lt;&gt;"",'Pasted_Exports'!AP15,'File_Intake'!AP15)</f>
        <v/>
      </c>
      <c r="AQ15" s="27">
        <f>IF('Pasted_Exports'!AQ15&lt;&gt;"",'Pasted_Exports'!AQ15,'File_Intake'!AQ15)</f>
        <v/>
      </c>
      <c r="AR15" s="27">
        <f>IF('Pasted_Exports'!AR15&lt;&gt;"",'Pasted_Exports'!AR15,'File_Intake'!AR15)</f>
        <v/>
      </c>
      <c r="AS15" s="27">
        <f>IF('Pasted_Exports'!AS15&lt;&gt;"",'Pasted_Exports'!AS15,'File_Intake'!AS15)</f>
        <v/>
      </c>
      <c r="AT15" s="47">
        <f>IF('Pasted_Exports'!AT15&lt;&gt;"",'Pasted_Exports'!AT15,'File_Intake'!AT15)</f>
        <v/>
      </c>
      <c r="AU15" s="47">
        <f>IF('Pasted_Exports'!AU15&lt;&gt;"",'Pasted_Exports'!AU15,'File_Intake'!AU15)</f>
        <v/>
      </c>
      <c r="AV15" s="47">
        <f>IF('Pasted_Exports'!AV15&lt;&gt;"",'Pasted_Exports'!AV15,'File_Intake'!AV15)</f>
        <v/>
      </c>
      <c r="AW15" s="56">
        <f>IF('Pasted_Exports'!AW15&lt;&gt;"",'Pasted_Exports'!AW15,'File_Intake'!AW15)</f>
        <v/>
      </c>
      <c r="AX15" s="56">
        <f>IF('Pasted_Exports'!AX15&lt;&gt;"",'Pasted_Exports'!AX15,'File_Intake'!AX15)</f>
        <v/>
      </c>
      <c r="AY15" s="56">
        <f>IF('Pasted_Exports'!AY15&lt;&gt;"",'Pasted_Exports'!AY15,'File_Intake'!AY15)</f>
        <v/>
      </c>
      <c r="AZ15" s="47">
        <f>IF('Pasted_Exports'!AZ15&lt;&gt;"",'Pasted_Exports'!AZ15,'File_Intake'!AZ15)</f>
        <v/>
      </c>
      <c r="BA15" s="47">
        <f>IF('Pasted_Exports'!BA15&lt;&gt;"",'Pasted_Exports'!BA15,'File_Intake'!BA15)</f>
        <v/>
      </c>
      <c r="BB15" s="47">
        <f>IF('Pasted_Exports'!BB15&lt;&gt;"",'Pasted_Exports'!BB15,'File_Intake'!BB15)</f>
        <v/>
      </c>
      <c r="BC15" s="27">
        <f>IF('Pasted_Exports'!BC15&lt;&gt;"",'Pasted_Exports'!BC15,'File_Intake'!BC15)</f>
        <v/>
      </c>
      <c r="BD15" s="27">
        <f>IF('Pasted_Exports'!BD15&lt;&gt;"",'Pasted_Exports'!BD15,'File_Intake'!BD15)</f>
        <v/>
      </c>
      <c r="BE15" s="27">
        <f>IF('Pasted_Exports'!BE15&lt;&gt;"",'Pasted_Exports'!BE15,'File_Intake'!BE15)</f>
        <v/>
      </c>
      <c r="BF15" s="47">
        <f>IF('Pasted_Exports'!BF15&lt;&gt;"",'Pasted_Exports'!BF15,'File_Intake'!BF15)</f>
        <v/>
      </c>
      <c r="BG15" s="47">
        <f>IF('Pasted_Exports'!BG15&lt;&gt;"",'Pasted_Exports'!BG15,'File_Intake'!BG15)</f>
        <v/>
      </c>
      <c r="BH15" s="47">
        <f>IF('Pasted_Exports'!BH15&lt;&gt;"",'Pasted_Exports'!BH15,'File_Intake'!BH15)</f>
        <v/>
      </c>
      <c r="BI15" s="47">
        <f>IF('Pasted_Exports'!BI15&lt;&gt;"",'Pasted_Exports'!BI15,'File_Intake'!BI15)</f>
        <v/>
      </c>
      <c r="BJ15" s="47">
        <f>IF('Pasted_Exports'!BJ15&lt;&gt;"",'Pasted_Exports'!BJ15,'File_Intake'!BJ15)</f>
        <v/>
      </c>
      <c r="BK15" s="47">
        <f>IF('Pasted_Exports'!BK15&lt;&gt;"",'Pasted_Exports'!BK15,'File_Intake'!BK15)</f>
        <v/>
      </c>
      <c r="BL15" s="47">
        <f>IF('Pasted_Exports'!BL15&lt;&gt;"",'Pasted_Exports'!BL15,'File_Intake'!BL15)</f>
        <v/>
      </c>
      <c r="BM15" s="47">
        <f>IF('Pasted_Exports'!BM15&lt;&gt;"",'Pasted_Exports'!BM15,'File_Intake'!BM15)</f>
        <v/>
      </c>
      <c r="BN15" s="47">
        <f>IF('Pasted_Exports'!BN15&lt;&gt;"",'Pasted_Exports'!BN15,'File_Intake'!BN15)</f>
        <v/>
      </c>
      <c r="BO15" s="47">
        <f>IF('Pasted_Exports'!BO15&lt;&gt;"",'Pasted_Exports'!BO15,'File_Intake'!BO15)</f>
        <v/>
      </c>
      <c r="BP15" s="47">
        <f>IF('Pasted_Exports'!BP15&lt;&gt;"",'Pasted_Exports'!BP15,'File_Intake'!BP15)</f>
        <v/>
      </c>
      <c r="BQ15" s="47">
        <f>IF('Pasted_Exports'!BQ15&lt;&gt;"",'Pasted_Exports'!BQ15,'File_Intake'!BQ15)</f>
        <v/>
      </c>
      <c r="BR15" s="47">
        <f>IF('Pasted_Exports'!BR15&lt;&gt;"",'Pasted_Exports'!BR15,'File_Intake'!BR15)</f>
        <v/>
      </c>
      <c r="BS15" s="47">
        <f>IF('Pasted_Exports'!BS15&lt;&gt;"",'Pasted_Exports'!BS15,'File_Intake'!BS15)</f>
        <v/>
      </c>
      <c r="BT15" s="47">
        <f>IF('Pasted_Exports'!BT15&lt;&gt;"",'Pasted_Exports'!BT15,'File_Intake'!BT15)</f>
        <v/>
      </c>
      <c r="BU15" s="47">
        <f>IF('Pasted_Exports'!BU15&lt;&gt;"",'Pasted_Exports'!BU15,'File_Intake'!BU15)</f>
        <v/>
      </c>
      <c r="BV15" s="47">
        <f>IF('Pasted_Exports'!BV15&lt;&gt;"",'Pasted_Exports'!BV15,'File_Intake'!BV15)</f>
        <v/>
      </c>
      <c r="BW15" s="47">
        <f>IF('Pasted_Exports'!BW15&lt;&gt;"",'Pasted_Exports'!BW15,'File_Intake'!BW15)</f>
        <v/>
      </c>
      <c r="BX15" s="29">
        <f>IF(AND($A15&lt;&gt;"",$B15&lt;&gt;"",$K15&gt;='Study_Setup'!$B$14,$L15&gt;='Study_Setup'!$B$15),1,0)</f>
        <v/>
      </c>
      <c r="BY15" s="30">
        <f>IF($A15="","",TEXTJOIN("; ",TRUE,IF($B15="","Missing arm",""),IF($K15&lt;'Study_Setup'!$B$14,"Low off-days",""),IF($L15&lt;'Study_Setup'!$B$15,"Low on-days",""),IF($AM15&gt;'Study_Setup'!$B$19,"Hypo burden increased","")))</f>
        <v/>
      </c>
      <c r="BZ15" s="61">
        <f>IFERROR($M15-$N15,"")</f>
        <v/>
      </c>
      <c r="CA15" s="62">
        <f>IFERROR(($M15-$N15)/$M15,"")</f>
        <v/>
      </c>
      <c r="CB15" s="33">
        <f>IFERROR($P15-$Q15,"")</f>
        <v/>
      </c>
      <c r="CC15" s="63">
        <f>IFERROR($T15-$S15,"")</f>
        <v/>
      </c>
      <c r="CD15" s="33">
        <f>IFERROR($AH15-$AI15,"")</f>
        <v/>
      </c>
      <c r="CE15" s="62">
        <f>IFERROR(($AH15-$AI15)/$AH15,"")</f>
        <v/>
      </c>
      <c r="CF15" s="33">
        <f>IFERROR($AQ15-$AR15,"")</f>
        <v/>
      </c>
      <c r="CG15" s="61">
        <f>IFERROR($BO15-$BP15,"")</f>
        <v/>
      </c>
      <c r="CH15" s="61">
        <f>IFERROR($BI15-$BJ15,"")</f>
        <v/>
      </c>
      <c r="CI15" s="61">
        <f>IFERROR($BL15-$BM15,"")</f>
        <v/>
      </c>
      <c r="CJ15" s="61">
        <f>IFERROR($BF15-$BG15,"")</f>
        <v/>
      </c>
      <c r="CK15" s="33">
        <f>IFERROR($BC15-$BD15,"")</f>
        <v/>
      </c>
      <c r="CL15" s="29">
        <f>IF($A15="","",IF($AM15&lt;='Study_Setup'!$B$19,1,0))</f>
        <v/>
      </c>
      <c r="CM15" s="29">
        <f>IF($A15="","",IF(AND($BZ15&gt;='Study_Setup'!$B$16,$CC15&gt;='Study_Setup'!$B$17,$CE15&gt;='Study_Setup'!$B$18,$CL15=1),1,0))</f>
        <v/>
      </c>
      <c r="CN15" s="61">
        <f>IFERROR(40*MIN(1,$BZ15/'Study_Setup'!$B$16)+25*MIN(1,$CC15/'Study_Setup'!$B$17)+25*MIN(1,$CE15/'Study_Setup'!$B$18)+10*$CL15,"")</f>
        <v/>
      </c>
      <c r="CO15">
        <f>IF('Pasted_Exports'!BX15&lt;&gt;"",'Pasted_Exports'!BX15,'File_Intake'!BX15)</f>
        <v/>
      </c>
      <c r="CP15" s="57">
        <f>IF('Pasted_Exports'!BY15&lt;&gt;"",'Pasted_Exports'!BY15,'File_Intake'!BY15)</f>
        <v/>
      </c>
      <c r="CQ15" s="57">
        <f>IF('Pasted_Exports'!BZ15&lt;&gt;"",'Pasted_Exports'!BZ15,'File_Intake'!BZ15)</f>
        <v/>
      </c>
      <c r="CR15" s="57">
        <f>IF('Pasted_Exports'!CA15&lt;&gt;"",'Pasted_Exports'!CA15,'File_Intake'!CA15)</f>
        <v/>
      </c>
      <c r="CS15" s="58">
        <f>IF('Pasted_Exports'!CB15&lt;&gt;"",'Pasted_Exports'!CB15,'File_Intake'!CB15)</f>
        <v/>
      </c>
      <c r="CT15" s="59">
        <f>IF('Pasted_Exports'!CC15&lt;&gt;"",'Pasted_Exports'!CC15,'File_Intake'!CC15)</f>
        <v/>
      </c>
      <c r="CU15">
        <f>IF('Pasted_Exports'!CD15&lt;&gt;"",'Pasted_Exports'!CD15,'File_Intake'!CD15)</f>
        <v/>
      </c>
      <c r="CV15">
        <f>IF('Pasted_Exports'!CE15&lt;&gt;"",'Pasted_Exports'!CE15,'File_Intake'!CE15)</f>
        <v/>
      </c>
      <c r="CW15" s="60">
        <f>IF('Pasted_Exports'!CF15&lt;&gt;"",'Pasted_Exports'!CF15,'File_Intake'!CF15)</f>
        <v/>
      </c>
      <c r="CX15" s="60">
        <f>IF('Pasted_Exports'!CG15&lt;&gt;"",'Pasted_Exports'!CG15,'File_Intake'!CG15)</f>
        <v/>
      </c>
      <c r="CY15">
        <f>IF('Pasted_Exports'!CH15&lt;&gt;"",'Pasted_Exports'!CH15,'File_Intake'!CH15)</f>
        <v/>
      </c>
    </row>
    <row r="16">
      <c r="A16" s="24">
        <f>IF('Pasted_Exports'!A16&lt;&gt;"",'Pasted_Exports'!A16,'File_Intake'!A16)</f>
        <v/>
      </c>
      <c r="B16" s="24">
        <f>IF('Pasted_Exports'!B16&lt;&gt;"",'Pasted_Exports'!B16,'File_Intake'!B16)</f>
        <v/>
      </c>
      <c r="C16" s="24">
        <f>IF('Pasted_Exports'!C16&lt;&gt;"",'Pasted_Exports'!C16,'File_Intake'!C16)</f>
        <v/>
      </c>
      <c r="D16" s="24">
        <f>IF('Pasted_Exports'!D16&lt;&gt;"",'Pasted_Exports'!D16,'File_Intake'!D16)</f>
        <v/>
      </c>
      <c r="E16" s="55">
        <f>IF('Pasted_Exports'!E16&lt;&gt;"",'Pasted_Exports'!E16,'File_Intake'!E16)</f>
        <v/>
      </c>
      <c r="F16" s="26">
        <f>IF('Pasted_Exports'!F16&lt;&gt;"",'Pasted_Exports'!F16,'File_Intake'!F16)</f>
        <v/>
      </c>
      <c r="G16" s="26">
        <f>IF('Pasted_Exports'!G16&lt;&gt;"",'Pasted_Exports'!G16,'File_Intake'!G16)</f>
        <v/>
      </c>
      <c r="H16" s="47">
        <f>IF('Pasted_Exports'!H16&lt;&gt;"",'Pasted_Exports'!H16,'File_Intake'!H16)</f>
        <v/>
      </c>
      <c r="I16" s="26">
        <f>IF('Pasted_Exports'!I16&lt;&gt;"",'Pasted_Exports'!I16,'File_Intake'!I16)</f>
        <v/>
      </c>
      <c r="J16" s="26">
        <f>IF('Pasted_Exports'!J16&lt;&gt;"",'Pasted_Exports'!J16,'File_Intake'!J16)</f>
        <v/>
      </c>
      <c r="K16" s="47">
        <f>IF('Pasted_Exports'!K16&lt;&gt;"",'Pasted_Exports'!K16,'File_Intake'!K16)</f>
        <v/>
      </c>
      <c r="L16" s="47">
        <f>IF('Pasted_Exports'!L16&lt;&gt;"",'Pasted_Exports'!L16,'File_Intake'!L16)</f>
        <v/>
      </c>
      <c r="M16" s="47">
        <f>IF('Pasted_Exports'!M16&lt;&gt;"",'Pasted_Exports'!M16,'File_Intake'!M16)</f>
        <v/>
      </c>
      <c r="N16" s="47">
        <f>IF('Pasted_Exports'!N16&lt;&gt;"",'Pasted_Exports'!N16,'File_Intake'!N16)</f>
        <v/>
      </c>
      <c r="O16" s="47">
        <f>IF('Pasted_Exports'!O16&lt;&gt;"",'Pasted_Exports'!O16,'File_Intake'!O16)</f>
        <v/>
      </c>
      <c r="P16" s="27">
        <f>IF('Pasted_Exports'!P16&lt;&gt;"",'Pasted_Exports'!P16,'File_Intake'!P16)</f>
        <v/>
      </c>
      <c r="Q16" s="27">
        <f>IF('Pasted_Exports'!Q16&lt;&gt;"",'Pasted_Exports'!Q16,'File_Intake'!Q16)</f>
        <v/>
      </c>
      <c r="R16" s="27">
        <f>IF('Pasted_Exports'!R16&lt;&gt;"",'Pasted_Exports'!R16,'File_Intake'!R16)</f>
        <v/>
      </c>
      <c r="S16" s="56">
        <f>IF('Pasted_Exports'!S16&lt;&gt;"",'Pasted_Exports'!S16,'File_Intake'!S16)</f>
        <v/>
      </c>
      <c r="T16" s="56">
        <f>IF('Pasted_Exports'!T16&lt;&gt;"",'Pasted_Exports'!T16,'File_Intake'!T16)</f>
        <v/>
      </c>
      <c r="U16" s="56">
        <f>IF('Pasted_Exports'!U16&lt;&gt;"",'Pasted_Exports'!U16,'File_Intake'!U16)</f>
        <v/>
      </c>
      <c r="V16" s="56">
        <f>IF('Pasted_Exports'!V16&lt;&gt;"",'Pasted_Exports'!V16,'File_Intake'!V16)</f>
        <v/>
      </c>
      <c r="W16" s="56">
        <f>IF('Pasted_Exports'!W16&lt;&gt;"",'Pasted_Exports'!W16,'File_Intake'!W16)</f>
        <v/>
      </c>
      <c r="X16" s="56">
        <f>IF('Pasted_Exports'!X16&lt;&gt;"",'Pasted_Exports'!X16,'File_Intake'!X16)</f>
        <v/>
      </c>
      <c r="Y16" s="56">
        <f>IF('Pasted_Exports'!Y16&lt;&gt;"",'Pasted_Exports'!Y16,'File_Intake'!Y16)</f>
        <v/>
      </c>
      <c r="Z16" s="56">
        <f>IF('Pasted_Exports'!Z16&lt;&gt;"",'Pasted_Exports'!Z16,'File_Intake'!Z16)</f>
        <v/>
      </c>
      <c r="AA16" s="56">
        <f>IF('Pasted_Exports'!AA16&lt;&gt;"",'Pasted_Exports'!AA16,'File_Intake'!AA16)</f>
        <v/>
      </c>
      <c r="AB16" s="56">
        <f>IF('Pasted_Exports'!AB16&lt;&gt;"",'Pasted_Exports'!AB16,'File_Intake'!AB16)</f>
        <v/>
      </c>
      <c r="AC16" s="56">
        <f>IF('Pasted_Exports'!AC16&lt;&gt;"",'Pasted_Exports'!AC16,'File_Intake'!AC16)</f>
        <v/>
      </c>
      <c r="AD16" s="56">
        <f>IF('Pasted_Exports'!AD16&lt;&gt;"",'Pasted_Exports'!AD16,'File_Intake'!AD16)</f>
        <v/>
      </c>
      <c r="AE16" s="56">
        <f>IF('Pasted_Exports'!AE16&lt;&gt;"",'Pasted_Exports'!AE16,'File_Intake'!AE16)</f>
        <v/>
      </c>
      <c r="AF16" s="56">
        <f>IF('Pasted_Exports'!AF16&lt;&gt;"",'Pasted_Exports'!AF16,'File_Intake'!AF16)</f>
        <v/>
      </c>
      <c r="AG16" s="56">
        <f>IF('Pasted_Exports'!AG16&lt;&gt;"",'Pasted_Exports'!AG16,'File_Intake'!AG16)</f>
        <v/>
      </c>
      <c r="AH16" s="27">
        <f>IF('Pasted_Exports'!AH16&lt;&gt;"",'Pasted_Exports'!AH16,'File_Intake'!AH16)</f>
        <v/>
      </c>
      <c r="AI16" s="27">
        <f>IF('Pasted_Exports'!AI16&lt;&gt;"",'Pasted_Exports'!AI16,'File_Intake'!AI16)</f>
        <v/>
      </c>
      <c r="AJ16" s="27">
        <f>IF('Pasted_Exports'!AJ16&lt;&gt;"",'Pasted_Exports'!AJ16,'File_Intake'!AJ16)</f>
        <v/>
      </c>
      <c r="AK16" s="27">
        <f>IF('Pasted_Exports'!AK16&lt;&gt;"",'Pasted_Exports'!AK16,'File_Intake'!AK16)</f>
        <v/>
      </c>
      <c r="AL16" s="27">
        <f>IF('Pasted_Exports'!AL16&lt;&gt;"",'Pasted_Exports'!AL16,'File_Intake'!AL16)</f>
        <v/>
      </c>
      <c r="AM16" s="27">
        <f>IF('Pasted_Exports'!AM16&lt;&gt;"",'Pasted_Exports'!AM16,'File_Intake'!AM16)</f>
        <v/>
      </c>
      <c r="AN16" s="27">
        <f>IF('Pasted_Exports'!AN16&lt;&gt;"",'Pasted_Exports'!AN16,'File_Intake'!AN16)</f>
        <v/>
      </c>
      <c r="AO16" s="27">
        <f>IF('Pasted_Exports'!AO16&lt;&gt;"",'Pasted_Exports'!AO16,'File_Intake'!AO16)</f>
        <v/>
      </c>
      <c r="AP16" s="27">
        <f>IF('Pasted_Exports'!AP16&lt;&gt;"",'Pasted_Exports'!AP16,'File_Intake'!AP16)</f>
        <v/>
      </c>
      <c r="AQ16" s="27">
        <f>IF('Pasted_Exports'!AQ16&lt;&gt;"",'Pasted_Exports'!AQ16,'File_Intake'!AQ16)</f>
        <v/>
      </c>
      <c r="AR16" s="27">
        <f>IF('Pasted_Exports'!AR16&lt;&gt;"",'Pasted_Exports'!AR16,'File_Intake'!AR16)</f>
        <v/>
      </c>
      <c r="AS16" s="27">
        <f>IF('Pasted_Exports'!AS16&lt;&gt;"",'Pasted_Exports'!AS16,'File_Intake'!AS16)</f>
        <v/>
      </c>
      <c r="AT16" s="47">
        <f>IF('Pasted_Exports'!AT16&lt;&gt;"",'Pasted_Exports'!AT16,'File_Intake'!AT16)</f>
        <v/>
      </c>
      <c r="AU16" s="47">
        <f>IF('Pasted_Exports'!AU16&lt;&gt;"",'Pasted_Exports'!AU16,'File_Intake'!AU16)</f>
        <v/>
      </c>
      <c r="AV16" s="47">
        <f>IF('Pasted_Exports'!AV16&lt;&gt;"",'Pasted_Exports'!AV16,'File_Intake'!AV16)</f>
        <v/>
      </c>
      <c r="AW16" s="56">
        <f>IF('Pasted_Exports'!AW16&lt;&gt;"",'Pasted_Exports'!AW16,'File_Intake'!AW16)</f>
        <v/>
      </c>
      <c r="AX16" s="56">
        <f>IF('Pasted_Exports'!AX16&lt;&gt;"",'Pasted_Exports'!AX16,'File_Intake'!AX16)</f>
        <v/>
      </c>
      <c r="AY16" s="56">
        <f>IF('Pasted_Exports'!AY16&lt;&gt;"",'Pasted_Exports'!AY16,'File_Intake'!AY16)</f>
        <v/>
      </c>
      <c r="AZ16" s="47">
        <f>IF('Pasted_Exports'!AZ16&lt;&gt;"",'Pasted_Exports'!AZ16,'File_Intake'!AZ16)</f>
        <v/>
      </c>
      <c r="BA16" s="47">
        <f>IF('Pasted_Exports'!BA16&lt;&gt;"",'Pasted_Exports'!BA16,'File_Intake'!BA16)</f>
        <v/>
      </c>
      <c r="BB16" s="47">
        <f>IF('Pasted_Exports'!BB16&lt;&gt;"",'Pasted_Exports'!BB16,'File_Intake'!BB16)</f>
        <v/>
      </c>
      <c r="BC16" s="27">
        <f>IF('Pasted_Exports'!BC16&lt;&gt;"",'Pasted_Exports'!BC16,'File_Intake'!BC16)</f>
        <v/>
      </c>
      <c r="BD16" s="27">
        <f>IF('Pasted_Exports'!BD16&lt;&gt;"",'Pasted_Exports'!BD16,'File_Intake'!BD16)</f>
        <v/>
      </c>
      <c r="BE16" s="27">
        <f>IF('Pasted_Exports'!BE16&lt;&gt;"",'Pasted_Exports'!BE16,'File_Intake'!BE16)</f>
        <v/>
      </c>
      <c r="BF16" s="47">
        <f>IF('Pasted_Exports'!BF16&lt;&gt;"",'Pasted_Exports'!BF16,'File_Intake'!BF16)</f>
        <v/>
      </c>
      <c r="BG16" s="47">
        <f>IF('Pasted_Exports'!BG16&lt;&gt;"",'Pasted_Exports'!BG16,'File_Intake'!BG16)</f>
        <v/>
      </c>
      <c r="BH16" s="47">
        <f>IF('Pasted_Exports'!BH16&lt;&gt;"",'Pasted_Exports'!BH16,'File_Intake'!BH16)</f>
        <v/>
      </c>
      <c r="BI16" s="47">
        <f>IF('Pasted_Exports'!BI16&lt;&gt;"",'Pasted_Exports'!BI16,'File_Intake'!BI16)</f>
        <v/>
      </c>
      <c r="BJ16" s="47">
        <f>IF('Pasted_Exports'!BJ16&lt;&gt;"",'Pasted_Exports'!BJ16,'File_Intake'!BJ16)</f>
        <v/>
      </c>
      <c r="BK16" s="47">
        <f>IF('Pasted_Exports'!BK16&lt;&gt;"",'Pasted_Exports'!BK16,'File_Intake'!BK16)</f>
        <v/>
      </c>
      <c r="BL16" s="47">
        <f>IF('Pasted_Exports'!BL16&lt;&gt;"",'Pasted_Exports'!BL16,'File_Intake'!BL16)</f>
        <v/>
      </c>
      <c r="BM16" s="47">
        <f>IF('Pasted_Exports'!BM16&lt;&gt;"",'Pasted_Exports'!BM16,'File_Intake'!BM16)</f>
        <v/>
      </c>
      <c r="BN16" s="47">
        <f>IF('Pasted_Exports'!BN16&lt;&gt;"",'Pasted_Exports'!BN16,'File_Intake'!BN16)</f>
        <v/>
      </c>
      <c r="BO16" s="47">
        <f>IF('Pasted_Exports'!BO16&lt;&gt;"",'Pasted_Exports'!BO16,'File_Intake'!BO16)</f>
        <v/>
      </c>
      <c r="BP16" s="47">
        <f>IF('Pasted_Exports'!BP16&lt;&gt;"",'Pasted_Exports'!BP16,'File_Intake'!BP16)</f>
        <v/>
      </c>
      <c r="BQ16" s="47">
        <f>IF('Pasted_Exports'!BQ16&lt;&gt;"",'Pasted_Exports'!BQ16,'File_Intake'!BQ16)</f>
        <v/>
      </c>
      <c r="BR16" s="47">
        <f>IF('Pasted_Exports'!BR16&lt;&gt;"",'Pasted_Exports'!BR16,'File_Intake'!BR16)</f>
        <v/>
      </c>
      <c r="BS16" s="47">
        <f>IF('Pasted_Exports'!BS16&lt;&gt;"",'Pasted_Exports'!BS16,'File_Intake'!BS16)</f>
        <v/>
      </c>
      <c r="BT16" s="47">
        <f>IF('Pasted_Exports'!BT16&lt;&gt;"",'Pasted_Exports'!BT16,'File_Intake'!BT16)</f>
        <v/>
      </c>
      <c r="BU16" s="47">
        <f>IF('Pasted_Exports'!BU16&lt;&gt;"",'Pasted_Exports'!BU16,'File_Intake'!BU16)</f>
        <v/>
      </c>
      <c r="BV16" s="47">
        <f>IF('Pasted_Exports'!BV16&lt;&gt;"",'Pasted_Exports'!BV16,'File_Intake'!BV16)</f>
        <v/>
      </c>
      <c r="BW16" s="47">
        <f>IF('Pasted_Exports'!BW16&lt;&gt;"",'Pasted_Exports'!BW16,'File_Intake'!BW16)</f>
        <v/>
      </c>
      <c r="BX16" s="29">
        <f>IF(AND($A16&lt;&gt;"",$B16&lt;&gt;"",$K16&gt;='Study_Setup'!$B$14,$L16&gt;='Study_Setup'!$B$15),1,0)</f>
        <v/>
      </c>
      <c r="BY16" s="30">
        <f>IF($A16="","",TEXTJOIN("; ",TRUE,IF($B16="","Missing arm",""),IF($K16&lt;'Study_Setup'!$B$14,"Low off-days",""),IF($L16&lt;'Study_Setup'!$B$15,"Low on-days",""),IF($AM16&gt;'Study_Setup'!$B$19,"Hypo burden increased","")))</f>
        <v/>
      </c>
      <c r="BZ16" s="61">
        <f>IFERROR($M16-$N16,"")</f>
        <v/>
      </c>
      <c r="CA16" s="62">
        <f>IFERROR(($M16-$N16)/$M16,"")</f>
        <v/>
      </c>
      <c r="CB16" s="33">
        <f>IFERROR($P16-$Q16,"")</f>
        <v/>
      </c>
      <c r="CC16" s="63">
        <f>IFERROR($T16-$S16,"")</f>
        <v/>
      </c>
      <c r="CD16" s="33">
        <f>IFERROR($AH16-$AI16,"")</f>
        <v/>
      </c>
      <c r="CE16" s="62">
        <f>IFERROR(($AH16-$AI16)/$AH16,"")</f>
        <v/>
      </c>
      <c r="CF16" s="33">
        <f>IFERROR($AQ16-$AR16,"")</f>
        <v/>
      </c>
      <c r="CG16" s="61">
        <f>IFERROR($BO16-$BP16,"")</f>
        <v/>
      </c>
      <c r="CH16" s="61">
        <f>IFERROR($BI16-$BJ16,"")</f>
        <v/>
      </c>
      <c r="CI16" s="61">
        <f>IFERROR($BL16-$BM16,"")</f>
        <v/>
      </c>
      <c r="CJ16" s="61">
        <f>IFERROR($BF16-$BG16,"")</f>
        <v/>
      </c>
      <c r="CK16" s="33">
        <f>IFERROR($BC16-$BD16,"")</f>
        <v/>
      </c>
      <c r="CL16" s="29">
        <f>IF($A16="","",IF($AM16&lt;='Study_Setup'!$B$19,1,0))</f>
        <v/>
      </c>
      <c r="CM16" s="29">
        <f>IF($A16="","",IF(AND($BZ16&gt;='Study_Setup'!$B$16,$CC16&gt;='Study_Setup'!$B$17,$CE16&gt;='Study_Setup'!$B$18,$CL16=1),1,0))</f>
        <v/>
      </c>
      <c r="CN16" s="61">
        <f>IFERROR(40*MIN(1,$BZ16/'Study_Setup'!$B$16)+25*MIN(1,$CC16/'Study_Setup'!$B$17)+25*MIN(1,$CE16/'Study_Setup'!$B$18)+10*$CL16,"")</f>
        <v/>
      </c>
      <c r="CO16">
        <f>IF('Pasted_Exports'!BX16&lt;&gt;"",'Pasted_Exports'!BX16,'File_Intake'!BX16)</f>
        <v/>
      </c>
      <c r="CP16" s="57">
        <f>IF('Pasted_Exports'!BY16&lt;&gt;"",'Pasted_Exports'!BY16,'File_Intake'!BY16)</f>
        <v/>
      </c>
      <c r="CQ16" s="57">
        <f>IF('Pasted_Exports'!BZ16&lt;&gt;"",'Pasted_Exports'!BZ16,'File_Intake'!BZ16)</f>
        <v/>
      </c>
      <c r="CR16" s="57">
        <f>IF('Pasted_Exports'!CA16&lt;&gt;"",'Pasted_Exports'!CA16,'File_Intake'!CA16)</f>
        <v/>
      </c>
      <c r="CS16" s="58">
        <f>IF('Pasted_Exports'!CB16&lt;&gt;"",'Pasted_Exports'!CB16,'File_Intake'!CB16)</f>
        <v/>
      </c>
      <c r="CT16" s="59">
        <f>IF('Pasted_Exports'!CC16&lt;&gt;"",'Pasted_Exports'!CC16,'File_Intake'!CC16)</f>
        <v/>
      </c>
      <c r="CU16">
        <f>IF('Pasted_Exports'!CD16&lt;&gt;"",'Pasted_Exports'!CD16,'File_Intake'!CD16)</f>
        <v/>
      </c>
      <c r="CV16">
        <f>IF('Pasted_Exports'!CE16&lt;&gt;"",'Pasted_Exports'!CE16,'File_Intake'!CE16)</f>
        <v/>
      </c>
      <c r="CW16" s="60">
        <f>IF('Pasted_Exports'!CF16&lt;&gt;"",'Pasted_Exports'!CF16,'File_Intake'!CF16)</f>
        <v/>
      </c>
      <c r="CX16" s="60">
        <f>IF('Pasted_Exports'!CG16&lt;&gt;"",'Pasted_Exports'!CG16,'File_Intake'!CG16)</f>
        <v/>
      </c>
      <c r="CY16">
        <f>IF('Pasted_Exports'!CH16&lt;&gt;"",'Pasted_Exports'!CH16,'File_Intake'!CH16)</f>
        <v/>
      </c>
    </row>
    <row r="17">
      <c r="A17" s="24">
        <f>IF('Pasted_Exports'!A17&lt;&gt;"",'Pasted_Exports'!A17,'File_Intake'!A17)</f>
        <v/>
      </c>
      <c r="B17" s="24">
        <f>IF('Pasted_Exports'!B17&lt;&gt;"",'Pasted_Exports'!B17,'File_Intake'!B17)</f>
        <v/>
      </c>
      <c r="C17" s="24">
        <f>IF('Pasted_Exports'!C17&lt;&gt;"",'Pasted_Exports'!C17,'File_Intake'!C17)</f>
        <v/>
      </c>
      <c r="D17" s="24">
        <f>IF('Pasted_Exports'!D17&lt;&gt;"",'Pasted_Exports'!D17,'File_Intake'!D17)</f>
        <v/>
      </c>
      <c r="E17" s="55">
        <f>IF('Pasted_Exports'!E17&lt;&gt;"",'Pasted_Exports'!E17,'File_Intake'!E17)</f>
        <v/>
      </c>
      <c r="F17" s="26">
        <f>IF('Pasted_Exports'!F17&lt;&gt;"",'Pasted_Exports'!F17,'File_Intake'!F17)</f>
        <v/>
      </c>
      <c r="G17" s="26">
        <f>IF('Pasted_Exports'!G17&lt;&gt;"",'Pasted_Exports'!G17,'File_Intake'!G17)</f>
        <v/>
      </c>
      <c r="H17" s="47">
        <f>IF('Pasted_Exports'!H17&lt;&gt;"",'Pasted_Exports'!H17,'File_Intake'!H17)</f>
        <v/>
      </c>
      <c r="I17" s="26">
        <f>IF('Pasted_Exports'!I17&lt;&gt;"",'Pasted_Exports'!I17,'File_Intake'!I17)</f>
        <v/>
      </c>
      <c r="J17" s="26">
        <f>IF('Pasted_Exports'!J17&lt;&gt;"",'Pasted_Exports'!J17,'File_Intake'!J17)</f>
        <v/>
      </c>
      <c r="K17" s="47">
        <f>IF('Pasted_Exports'!K17&lt;&gt;"",'Pasted_Exports'!K17,'File_Intake'!K17)</f>
        <v/>
      </c>
      <c r="L17" s="47">
        <f>IF('Pasted_Exports'!L17&lt;&gt;"",'Pasted_Exports'!L17,'File_Intake'!L17)</f>
        <v/>
      </c>
      <c r="M17" s="47">
        <f>IF('Pasted_Exports'!M17&lt;&gt;"",'Pasted_Exports'!M17,'File_Intake'!M17)</f>
        <v/>
      </c>
      <c r="N17" s="47">
        <f>IF('Pasted_Exports'!N17&lt;&gt;"",'Pasted_Exports'!N17,'File_Intake'!N17)</f>
        <v/>
      </c>
      <c r="O17" s="47">
        <f>IF('Pasted_Exports'!O17&lt;&gt;"",'Pasted_Exports'!O17,'File_Intake'!O17)</f>
        <v/>
      </c>
      <c r="P17" s="27">
        <f>IF('Pasted_Exports'!P17&lt;&gt;"",'Pasted_Exports'!P17,'File_Intake'!P17)</f>
        <v/>
      </c>
      <c r="Q17" s="27">
        <f>IF('Pasted_Exports'!Q17&lt;&gt;"",'Pasted_Exports'!Q17,'File_Intake'!Q17)</f>
        <v/>
      </c>
      <c r="R17" s="27">
        <f>IF('Pasted_Exports'!R17&lt;&gt;"",'Pasted_Exports'!R17,'File_Intake'!R17)</f>
        <v/>
      </c>
      <c r="S17" s="56">
        <f>IF('Pasted_Exports'!S17&lt;&gt;"",'Pasted_Exports'!S17,'File_Intake'!S17)</f>
        <v/>
      </c>
      <c r="T17" s="56">
        <f>IF('Pasted_Exports'!T17&lt;&gt;"",'Pasted_Exports'!T17,'File_Intake'!T17)</f>
        <v/>
      </c>
      <c r="U17" s="56">
        <f>IF('Pasted_Exports'!U17&lt;&gt;"",'Pasted_Exports'!U17,'File_Intake'!U17)</f>
        <v/>
      </c>
      <c r="V17" s="56">
        <f>IF('Pasted_Exports'!V17&lt;&gt;"",'Pasted_Exports'!V17,'File_Intake'!V17)</f>
        <v/>
      </c>
      <c r="W17" s="56">
        <f>IF('Pasted_Exports'!W17&lt;&gt;"",'Pasted_Exports'!W17,'File_Intake'!W17)</f>
        <v/>
      </c>
      <c r="X17" s="56">
        <f>IF('Pasted_Exports'!X17&lt;&gt;"",'Pasted_Exports'!X17,'File_Intake'!X17)</f>
        <v/>
      </c>
      <c r="Y17" s="56">
        <f>IF('Pasted_Exports'!Y17&lt;&gt;"",'Pasted_Exports'!Y17,'File_Intake'!Y17)</f>
        <v/>
      </c>
      <c r="Z17" s="56">
        <f>IF('Pasted_Exports'!Z17&lt;&gt;"",'Pasted_Exports'!Z17,'File_Intake'!Z17)</f>
        <v/>
      </c>
      <c r="AA17" s="56">
        <f>IF('Pasted_Exports'!AA17&lt;&gt;"",'Pasted_Exports'!AA17,'File_Intake'!AA17)</f>
        <v/>
      </c>
      <c r="AB17" s="56">
        <f>IF('Pasted_Exports'!AB17&lt;&gt;"",'Pasted_Exports'!AB17,'File_Intake'!AB17)</f>
        <v/>
      </c>
      <c r="AC17" s="56">
        <f>IF('Pasted_Exports'!AC17&lt;&gt;"",'Pasted_Exports'!AC17,'File_Intake'!AC17)</f>
        <v/>
      </c>
      <c r="AD17" s="56">
        <f>IF('Pasted_Exports'!AD17&lt;&gt;"",'Pasted_Exports'!AD17,'File_Intake'!AD17)</f>
        <v/>
      </c>
      <c r="AE17" s="56">
        <f>IF('Pasted_Exports'!AE17&lt;&gt;"",'Pasted_Exports'!AE17,'File_Intake'!AE17)</f>
        <v/>
      </c>
      <c r="AF17" s="56">
        <f>IF('Pasted_Exports'!AF17&lt;&gt;"",'Pasted_Exports'!AF17,'File_Intake'!AF17)</f>
        <v/>
      </c>
      <c r="AG17" s="56">
        <f>IF('Pasted_Exports'!AG17&lt;&gt;"",'Pasted_Exports'!AG17,'File_Intake'!AG17)</f>
        <v/>
      </c>
      <c r="AH17" s="27">
        <f>IF('Pasted_Exports'!AH17&lt;&gt;"",'Pasted_Exports'!AH17,'File_Intake'!AH17)</f>
        <v/>
      </c>
      <c r="AI17" s="27">
        <f>IF('Pasted_Exports'!AI17&lt;&gt;"",'Pasted_Exports'!AI17,'File_Intake'!AI17)</f>
        <v/>
      </c>
      <c r="AJ17" s="27">
        <f>IF('Pasted_Exports'!AJ17&lt;&gt;"",'Pasted_Exports'!AJ17,'File_Intake'!AJ17)</f>
        <v/>
      </c>
      <c r="AK17" s="27">
        <f>IF('Pasted_Exports'!AK17&lt;&gt;"",'Pasted_Exports'!AK17,'File_Intake'!AK17)</f>
        <v/>
      </c>
      <c r="AL17" s="27">
        <f>IF('Pasted_Exports'!AL17&lt;&gt;"",'Pasted_Exports'!AL17,'File_Intake'!AL17)</f>
        <v/>
      </c>
      <c r="AM17" s="27">
        <f>IF('Pasted_Exports'!AM17&lt;&gt;"",'Pasted_Exports'!AM17,'File_Intake'!AM17)</f>
        <v/>
      </c>
      <c r="AN17" s="27">
        <f>IF('Pasted_Exports'!AN17&lt;&gt;"",'Pasted_Exports'!AN17,'File_Intake'!AN17)</f>
        <v/>
      </c>
      <c r="AO17" s="27">
        <f>IF('Pasted_Exports'!AO17&lt;&gt;"",'Pasted_Exports'!AO17,'File_Intake'!AO17)</f>
        <v/>
      </c>
      <c r="AP17" s="27">
        <f>IF('Pasted_Exports'!AP17&lt;&gt;"",'Pasted_Exports'!AP17,'File_Intake'!AP17)</f>
        <v/>
      </c>
      <c r="AQ17" s="27">
        <f>IF('Pasted_Exports'!AQ17&lt;&gt;"",'Pasted_Exports'!AQ17,'File_Intake'!AQ17)</f>
        <v/>
      </c>
      <c r="AR17" s="27">
        <f>IF('Pasted_Exports'!AR17&lt;&gt;"",'Pasted_Exports'!AR17,'File_Intake'!AR17)</f>
        <v/>
      </c>
      <c r="AS17" s="27">
        <f>IF('Pasted_Exports'!AS17&lt;&gt;"",'Pasted_Exports'!AS17,'File_Intake'!AS17)</f>
        <v/>
      </c>
      <c r="AT17" s="47">
        <f>IF('Pasted_Exports'!AT17&lt;&gt;"",'Pasted_Exports'!AT17,'File_Intake'!AT17)</f>
        <v/>
      </c>
      <c r="AU17" s="47">
        <f>IF('Pasted_Exports'!AU17&lt;&gt;"",'Pasted_Exports'!AU17,'File_Intake'!AU17)</f>
        <v/>
      </c>
      <c r="AV17" s="47">
        <f>IF('Pasted_Exports'!AV17&lt;&gt;"",'Pasted_Exports'!AV17,'File_Intake'!AV17)</f>
        <v/>
      </c>
      <c r="AW17" s="56">
        <f>IF('Pasted_Exports'!AW17&lt;&gt;"",'Pasted_Exports'!AW17,'File_Intake'!AW17)</f>
        <v/>
      </c>
      <c r="AX17" s="56">
        <f>IF('Pasted_Exports'!AX17&lt;&gt;"",'Pasted_Exports'!AX17,'File_Intake'!AX17)</f>
        <v/>
      </c>
      <c r="AY17" s="56">
        <f>IF('Pasted_Exports'!AY17&lt;&gt;"",'Pasted_Exports'!AY17,'File_Intake'!AY17)</f>
        <v/>
      </c>
      <c r="AZ17" s="47">
        <f>IF('Pasted_Exports'!AZ17&lt;&gt;"",'Pasted_Exports'!AZ17,'File_Intake'!AZ17)</f>
        <v/>
      </c>
      <c r="BA17" s="47">
        <f>IF('Pasted_Exports'!BA17&lt;&gt;"",'Pasted_Exports'!BA17,'File_Intake'!BA17)</f>
        <v/>
      </c>
      <c r="BB17" s="47">
        <f>IF('Pasted_Exports'!BB17&lt;&gt;"",'Pasted_Exports'!BB17,'File_Intake'!BB17)</f>
        <v/>
      </c>
      <c r="BC17" s="27">
        <f>IF('Pasted_Exports'!BC17&lt;&gt;"",'Pasted_Exports'!BC17,'File_Intake'!BC17)</f>
        <v/>
      </c>
      <c r="BD17" s="27">
        <f>IF('Pasted_Exports'!BD17&lt;&gt;"",'Pasted_Exports'!BD17,'File_Intake'!BD17)</f>
        <v/>
      </c>
      <c r="BE17" s="27">
        <f>IF('Pasted_Exports'!BE17&lt;&gt;"",'Pasted_Exports'!BE17,'File_Intake'!BE17)</f>
        <v/>
      </c>
      <c r="BF17" s="47">
        <f>IF('Pasted_Exports'!BF17&lt;&gt;"",'Pasted_Exports'!BF17,'File_Intake'!BF17)</f>
        <v/>
      </c>
      <c r="BG17" s="47">
        <f>IF('Pasted_Exports'!BG17&lt;&gt;"",'Pasted_Exports'!BG17,'File_Intake'!BG17)</f>
        <v/>
      </c>
      <c r="BH17" s="47">
        <f>IF('Pasted_Exports'!BH17&lt;&gt;"",'Pasted_Exports'!BH17,'File_Intake'!BH17)</f>
        <v/>
      </c>
      <c r="BI17" s="47">
        <f>IF('Pasted_Exports'!BI17&lt;&gt;"",'Pasted_Exports'!BI17,'File_Intake'!BI17)</f>
        <v/>
      </c>
      <c r="BJ17" s="47">
        <f>IF('Pasted_Exports'!BJ17&lt;&gt;"",'Pasted_Exports'!BJ17,'File_Intake'!BJ17)</f>
        <v/>
      </c>
      <c r="BK17" s="47">
        <f>IF('Pasted_Exports'!BK17&lt;&gt;"",'Pasted_Exports'!BK17,'File_Intake'!BK17)</f>
        <v/>
      </c>
      <c r="BL17" s="47">
        <f>IF('Pasted_Exports'!BL17&lt;&gt;"",'Pasted_Exports'!BL17,'File_Intake'!BL17)</f>
        <v/>
      </c>
      <c r="BM17" s="47">
        <f>IF('Pasted_Exports'!BM17&lt;&gt;"",'Pasted_Exports'!BM17,'File_Intake'!BM17)</f>
        <v/>
      </c>
      <c r="BN17" s="47">
        <f>IF('Pasted_Exports'!BN17&lt;&gt;"",'Pasted_Exports'!BN17,'File_Intake'!BN17)</f>
        <v/>
      </c>
      <c r="BO17" s="47">
        <f>IF('Pasted_Exports'!BO17&lt;&gt;"",'Pasted_Exports'!BO17,'File_Intake'!BO17)</f>
        <v/>
      </c>
      <c r="BP17" s="47">
        <f>IF('Pasted_Exports'!BP17&lt;&gt;"",'Pasted_Exports'!BP17,'File_Intake'!BP17)</f>
        <v/>
      </c>
      <c r="BQ17" s="47">
        <f>IF('Pasted_Exports'!BQ17&lt;&gt;"",'Pasted_Exports'!BQ17,'File_Intake'!BQ17)</f>
        <v/>
      </c>
      <c r="BR17" s="47">
        <f>IF('Pasted_Exports'!BR17&lt;&gt;"",'Pasted_Exports'!BR17,'File_Intake'!BR17)</f>
        <v/>
      </c>
      <c r="BS17" s="47">
        <f>IF('Pasted_Exports'!BS17&lt;&gt;"",'Pasted_Exports'!BS17,'File_Intake'!BS17)</f>
        <v/>
      </c>
      <c r="BT17" s="47">
        <f>IF('Pasted_Exports'!BT17&lt;&gt;"",'Pasted_Exports'!BT17,'File_Intake'!BT17)</f>
        <v/>
      </c>
      <c r="BU17" s="47">
        <f>IF('Pasted_Exports'!BU17&lt;&gt;"",'Pasted_Exports'!BU17,'File_Intake'!BU17)</f>
        <v/>
      </c>
      <c r="BV17" s="47">
        <f>IF('Pasted_Exports'!BV17&lt;&gt;"",'Pasted_Exports'!BV17,'File_Intake'!BV17)</f>
        <v/>
      </c>
      <c r="BW17" s="47">
        <f>IF('Pasted_Exports'!BW17&lt;&gt;"",'Pasted_Exports'!BW17,'File_Intake'!BW17)</f>
        <v/>
      </c>
      <c r="BX17" s="29">
        <f>IF(AND($A17&lt;&gt;"",$B17&lt;&gt;"",$K17&gt;='Study_Setup'!$B$14,$L17&gt;='Study_Setup'!$B$15),1,0)</f>
        <v/>
      </c>
      <c r="BY17" s="30">
        <f>IF($A17="","",TEXTJOIN("; ",TRUE,IF($B17="","Missing arm",""),IF($K17&lt;'Study_Setup'!$B$14,"Low off-days",""),IF($L17&lt;'Study_Setup'!$B$15,"Low on-days",""),IF($AM17&gt;'Study_Setup'!$B$19,"Hypo burden increased","")))</f>
        <v/>
      </c>
      <c r="BZ17" s="61">
        <f>IFERROR($M17-$N17,"")</f>
        <v/>
      </c>
      <c r="CA17" s="62">
        <f>IFERROR(($M17-$N17)/$M17,"")</f>
        <v/>
      </c>
      <c r="CB17" s="33">
        <f>IFERROR($P17-$Q17,"")</f>
        <v/>
      </c>
      <c r="CC17" s="63">
        <f>IFERROR($T17-$S17,"")</f>
        <v/>
      </c>
      <c r="CD17" s="33">
        <f>IFERROR($AH17-$AI17,"")</f>
        <v/>
      </c>
      <c r="CE17" s="62">
        <f>IFERROR(($AH17-$AI17)/$AH17,"")</f>
        <v/>
      </c>
      <c r="CF17" s="33">
        <f>IFERROR($AQ17-$AR17,"")</f>
        <v/>
      </c>
      <c r="CG17" s="61">
        <f>IFERROR($BO17-$BP17,"")</f>
        <v/>
      </c>
      <c r="CH17" s="61">
        <f>IFERROR($BI17-$BJ17,"")</f>
        <v/>
      </c>
      <c r="CI17" s="61">
        <f>IFERROR($BL17-$BM17,"")</f>
        <v/>
      </c>
      <c r="CJ17" s="61">
        <f>IFERROR($BF17-$BG17,"")</f>
        <v/>
      </c>
      <c r="CK17" s="33">
        <f>IFERROR($BC17-$BD17,"")</f>
        <v/>
      </c>
      <c r="CL17" s="29">
        <f>IF($A17="","",IF($AM17&lt;='Study_Setup'!$B$19,1,0))</f>
        <v/>
      </c>
      <c r="CM17" s="29">
        <f>IF($A17="","",IF(AND($BZ17&gt;='Study_Setup'!$B$16,$CC17&gt;='Study_Setup'!$B$17,$CE17&gt;='Study_Setup'!$B$18,$CL17=1),1,0))</f>
        <v/>
      </c>
      <c r="CN17" s="61">
        <f>IFERROR(40*MIN(1,$BZ17/'Study_Setup'!$B$16)+25*MIN(1,$CC17/'Study_Setup'!$B$17)+25*MIN(1,$CE17/'Study_Setup'!$B$18)+10*$CL17,"")</f>
        <v/>
      </c>
      <c r="CO17">
        <f>IF('Pasted_Exports'!BX17&lt;&gt;"",'Pasted_Exports'!BX17,'File_Intake'!BX17)</f>
        <v/>
      </c>
      <c r="CP17" s="57">
        <f>IF('Pasted_Exports'!BY17&lt;&gt;"",'Pasted_Exports'!BY17,'File_Intake'!BY17)</f>
        <v/>
      </c>
      <c r="CQ17" s="57">
        <f>IF('Pasted_Exports'!BZ17&lt;&gt;"",'Pasted_Exports'!BZ17,'File_Intake'!BZ17)</f>
        <v/>
      </c>
      <c r="CR17" s="57">
        <f>IF('Pasted_Exports'!CA17&lt;&gt;"",'Pasted_Exports'!CA17,'File_Intake'!CA17)</f>
        <v/>
      </c>
      <c r="CS17" s="58">
        <f>IF('Pasted_Exports'!CB17&lt;&gt;"",'Pasted_Exports'!CB17,'File_Intake'!CB17)</f>
        <v/>
      </c>
      <c r="CT17" s="59">
        <f>IF('Pasted_Exports'!CC17&lt;&gt;"",'Pasted_Exports'!CC17,'File_Intake'!CC17)</f>
        <v/>
      </c>
      <c r="CU17">
        <f>IF('Pasted_Exports'!CD17&lt;&gt;"",'Pasted_Exports'!CD17,'File_Intake'!CD17)</f>
        <v/>
      </c>
      <c r="CV17">
        <f>IF('Pasted_Exports'!CE17&lt;&gt;"",'Pasted_Exports'!CE17,'File_Intake'!CE17)</f>
        <v/>
      </c>
      <c r="CW17" s="60">
        <f>IF('Pasted_Exports'!CF17&lt;&gt;"",'Pasted_Exports'!CF17,'File_Intake'!CF17)</f>
        <v/>
      </c>
      <c r="CX17" s="60">
        <f>IF('Pasted_Exports'!CG17&lt;&gt;"",'Pasted_Exports'!CG17,'File_Intake'!CG17)</f>
        <v/>
      </c>
      <c r="CY17">
        <f>IF('Pasted_Exports'!CH17&lt;&gt;"",'Pasted_Exports'!CH17,'File_Intake'!CH17)</f>
        <v/>
      </c>
    </row>
    <row r="18">
      <c r="A18" s="24">
        <f>IF('Pasted_Exports'!A18&lt;&gt;"",'Pasted_Exports'!A18,'File_Intake'!A18)</f>
        <v/>
      </c>
      <c r="B18" s="24">
        <f>IF('Pasted_Exports'!B18&lt;&gt;"",'Pasted_Exports'!B18,'File_Intake'!B18)</f>
        <v/>
      </c>
      <c r="C18" s="24">
        <f>IF('Pasted_Exports'!C18&lt;&gt;"",'Pasted_Exports'!C18,'File_Intake'!C18)</f>
        <v/>
      </c>
      <c r="D18" s="24">
        <f>IF('Pasted_Exports'!D18&lt;&gt;"",'Pasted_Exports'!D18,'File_Intake'!D18)</f>
        <v/>
      </c>
      <c r="E18" s="55">
        <f>IF('Pasted_Exports'!E18&lt;&gt;"",'Pasted_Exports'!E18,'File_Intake'!E18)</f>
        <v/>
      </c>
      <c r="F18" s="26">
        <f>IF('Pasted_Exports'!F18&lt;&gt;"",'Pasted_Exports'!F18,'File_Intake'!F18)</f>
        <v/>
      </c>
      <c r="G18" s="26">
        <f>IF('Pasted_Exports'!G18&lt;&gt;"",'Pasted_Exports'!G18,'File_Intake'!G18)</f>
        <v/>
      </c>
      <c r="H18" s="47">
        <f>IF('Pasted_Exports'!H18&lt;&gt;"",'Pasted_Exports'!H18,'File_Intake'!H18)</f>
        <v/>
      </c>
      <c r="I18" s="26">
        <f>IF('Pasted_Exports'!I18&lt;&gt;"",'Pasted_Exports'!I18,'File_Intake'!I18)</f>
        <v/>
      </c>
      <c r="J18" s="26">
        <f>IF('Pasted_Exports'!J18&lt;&gt;"",'Pasted_Exports'!J18,'File_Intake'!J18)</f>
        <v/>
      </c>
      <c r="K18" s="47">
        <f>IF('Pasted_Exports'!K18&lt;&gt;"",'Pasted_Exports'!K18,'File_Intake'!K18)</f>
        <v/>
      </c>
      <c r="L18" s="47">
        <f>IF('Pasted_Exports'!L18&lt;&gt;"",'Pasted_Exports'!L18,'File_Intake'!L18)</f>
        <v/>
      </c>
      <c r="M18" s="47">
        <f>IF('Pasted_Exports'!M18&lt;&gt;"",'Pasted_Exports'!M18,'File_Intake'!M18)</f>
        <v/>
      </c>
      <c r="N18" s="47">
        <f>IF('Pasted_Exports'!N18&lt;&gt;"",'Pasted_Exports'!N18,'File_Intake'!N18)</f>
        <v/>
      </c>
      <c r="O18" s="47">
        <f>IF('Pasted_Exports'!O18&lt;&gt;"",'Pasted_Exports'!O18,'File_Intake'!O18)</f>
        <v/>
      </c>
      <c r="P18" s="27">
        <f>IF('Pasted_Exports'!P18&lt;&gt;"",'Pasted_Exports'!P18,'File_Intake'!P18)</f>
        <v/>
      </c>
      <c r="Q18" s="27">
        <f>IF('Pasted_Exports'!Q18&lt;&gt;"",'Pasted_Exports'!Q18,'File_Intake'!Q18)</f>
        <v/>
      </c>
      <c r="R18" s="27">
        <f>IF('Pasted_Exports'!R18&lt;&gt;"",'Pasted_Exports'!R18,'File_Intake'!R18)</f>
        <v/>
      </c>
      <c r="S18" s="56">
        <f>IF('Pasted_Exports'!S18&lt;&gt;"",'Pasted_Exports'!S18,'File_Intake'!S18)</f>
        <v/>
      </c>
      <c r="T18" s="56">
        <f>IF('Pasted_Exports'!T18&lt;&gt;"",'Pasted_Exports'!T18,'File_Intake'!T18)</f>
        <v/>
      </c>
      <c r="U18" s="56">
        <f>IF('Pasted_Exports'!U18&lt;&gt;"",'Pasted_Exports'!U18,'File_Intake'!U18)</f>
        <v/>
      </c>
      <c r="V18" s="56">
        <f>IF('Pasted_Exports'!V18&lt;&gt;"",'Pasted_Exports'!V18,'File_Intake'!V18)</f>
        <v/>
      </c>
      <c r="W18" s="56">
        <f>IF('Pasted_Exports'!W18&lt;&gt;"",'Pasted_Exports'!W18,'File_Intake'!W18)</f>
        <v/>
      </c>
      <c r="X18" s="56">
        <f>IF('Pasted_Exports'!X18&lt;&gt;"",'Pasted_Exports'!X18,'File_Intake'!X18)</f>
        <v/>
      </c>
      <c r="Y18" s="56">
        <f>IF('Pasted_Exports'!Y18&lt;&gt;"",'Pasted_Exports'!Y18,'File_Intake'!Y18)</f>
        <v/>
      </c>
      <c r="Z18" s="56">
        <f>IF('Pasted_Exports'!Z18&lt;&gt;"",'Pasted_Exports'!Z18,'File_Intake'!Z18)</f>
        <v/>
      </c>
      <c r="AA18" s="56">
        <f>IF('Pasted_Exports'!AA18&lt;&gt;"",'Pasted_Exports'!AA18,'File_Intake'!AA18)</f>
        <v/>
      </c>
      <c r="AB18" s="56">
        <f>IF('Pasted_Exports'!AB18&lt;&gt;"",'Pasted_Exports'!AB18,'File_Intake'!AB18)</f>
        <v/>
      </c>
      <c r="AC18" s="56">
        <f>IF('Pasted_Exports'!AC18&lt;&gt;"",'Pasted_Exports'!AC18,'File_Intake'!AC18)</f>
        <v/>
      </c>
      <c r="AD18" s="56">
        <f>IF('Pasted_Exports'!AD18&lt;&gt;"",'Pasted_Exports'!AD18,'File_Intake'!AD18)</f>
        <v/>
      </c>
      <c r="AE18" s="56">
        <f>IF('Pasted_Exports'!AE18&lt;&gt;"",'Pasted_Exports'!AE18,'File_Intake'!AE18)</f>
        <v/>
      </c>
      <c r="AF18" s="56">
        <f>IF('Pasted_Exports'!AF18&lt;&gt;"",'Pasted_Exports'!AF18,'File_Intake'!AF18)</f>
        <v/>
      </c>
      <c r="AG18" s="56">
        <f>IF('Pasted_Exports'!AG18&lt;&gt;"",'Pasted_Exports'!AG18,'File_Intake'!AG18)</f>
        <v/>
      </c>
      <c r="AH18" s="27">
        <f>IF('Pasted_Exports'!AH18&lt;&gt;"",'Pasted_Exports'!AH18,'File_Intake'!AH18)</f>
        <v/>
      </c>
      <c r="AI18" s="27">
        <f>IF('Pasted_Exports'!AI18&lt;&gt;"",'Pasted_Exports'!AI18,'File_Intake'!AI18)</f>
        <v/>
      </c>
      <c r="AJ18" s="27">
        <f>IF('Pasted_Exports'!AJ18&lt;&gt;"",'Pasted_Exports'!AJ18,'File_Intake'!AJ18)</f>
        <v/>
      </c>
      <c r="AK18" s="27">
        <f>IF('Pasted_Exports'!AK18&lt;&gt;"",'Pasted_Exports'!AK18,'File_Intake'!AK18)</f>
        <v/>
      </c>
      <c r="AL18" s="27">
        <f>IF('Pasted_Exports'!AL18&lt;&gt;"",'Pasted_Exports'!AL18,'File_Intake'!AL18)</f>
        <v/>
      </c>
      <c r="AM18" s="27">
        <f>IF('Pasted_Exports'!AM18&lt;&gt;"",'Pasted_Exports'!AM18,'File_Intake'!AM18)</f>
        <v/>
      </c>
      <c r="AN18" s="27">
        <f>IF('Pasted_Exports'!AN18&lt;&gt;"",'Pasted_Exports'!AN18,'File_Intake'!AN18)</f>
        <v/>
      </c>
      <c r="AO18" s="27">
        <f>IF('Pasted_Exports'!AO18&lt;&gt;"",'Pasted_Exports'!AO18,'File_Intake'!AO18)</f>
        <v/>
      </c>
      <c r="AP18" s="27">
        <f>IF('Pasted_Exports'!AP18&lt;&gt;"",'Pasted_Exports'!AP18,'File_Intake'!AP18)</f>
        <v/>
      </c>
      <c r="AQ18" s="27">
        <f>IF('Pasted_Exports'!AQ18&lt;&gt;"",'Pasted_Exports'!AQ18,'File_Intake'!AQ18)</f>
        <v/>
      </c>
      <c r="AR18" s="27">
        <f>IF('Pasted_Exports'!AR18&lt;&gt;"",'Pasted_Exports'!AR18,'File_Intake'!AR18)</f>
        <v/>
      </c>
      <c r="AS18" s="27">
        <f>IF('Pasted_Exports'!AS18&lt;&gt;"",'Pasted_Exports'!AS18,'File_Intake'!AS18)</f>
        <v/>
      </c>
      <c r="AT18" s="47">
        <f>IF('Pasted_Exports'!AT18&lt;&gt;"",'Pasted_Exports'!AT18,'File_Intake'!AT18)</f>
        <v/>
      </c>
      <c r="AU18" s="47">
        <f>IF('Pasted_Exports'!AU18&lt;&gt;"",'Pasted_Exports'!AU18,'File_Intake'!AU18)</f>
        <v/>
      </c>
      <c r="AV18" s="47">
        <f>IF('Pasted_Exports'!AV18&lt;&gt;"",'Pasted_Exports'!AV18,'File_Intake'!AV18)</f>
        <v/>
      </c>
      <c r="AW18" s="56">
        <f>IF('Pasted_Exports'!AW18&lt;&gt;"",'Pasted_Exports'!AW18,'File_Intake'!AW18)</f>
        <v/>
      </c>
      <c r="AX18" s="56">
        <f>IF('Pasted_Exports'!AX18&lt;&gt;"",'Pasted_Exports'!AX18,'File_Intake'!AX18)</f>
        <v/>
      </c>
      <c r="AY18" s="56">
        <f>IF('Pasted_Exports'!AY18&lt;&gt;"",'Pasted_Exports'!AY18,'File_Intake'!AY18)</f>
        <v/>
      </c>
      <c r="AZ18" s="47">
        <f>IF('Pasted_Exports'!AZ18&lt;&gt;"",'Pasted_Exports'!AZ18,'File_Intake'!AZ18)</f>
        <v/>
      </c>
      <c r="BA18" s="47">
        <f>IF('Pasted_Exports'!BA18&lt;&gt;"",'Pasted_Exports'!BA18,'File_Intake'!BA18)</f>
        <v/>
      </c>
      <c r="BB18" s="47">
        <f>IF('Pasted_Exports'!BB18&lt;&gt;"",'Pasted_Exports'!BB18,'File_Intake'!BB18)</f>
        <v/>
      </c>
      <c r="BC18" s="27">
        <f>IF('Pasted_Exports'!BC18&lt;&gt;"",'Pasted_Exports'!BC18,'File_Intake'!BC18)</f>
        <v/>
      </c>
      <c r="BD18" s="27">
        <f>IF('Pasted_Exports'!BD18&lt;&gt;"",'Pasted_Exports'!BD18,'File_Intake'!BD18)</f>
        <v/>
      </c>
      <c r="BE18" s="27">
        <f>IF('Pasted_Exports'!BE18&lt;&gt;"",'Pasted_Exports'!BE18,'File_Intake'!BE18)</f>
        <v/>
      </c>
      <c r="BF18" s="47">
        <f>IF('Pasted_Exports'!BF18&lt;&gt;"",'Pasted_Exports'!BF18,'File_Intake'!BF18)</f>
        <v/>
      </c>
      <c r="BG18" s="47">
        <f>IF('Pasted_Exports'!BG18&lt;&gt;"",'Pasted_Exports'!BG18,'File_Intake'!BG18)</f>
        <v/>
      </c>
      <c r="BH18" s="47">
        <f>IF('Pasted_Exports'!BH18&lt;&gt;"",'Pasted_Exports'!BH18,'File_Intake'!BH18)</f>
        <v/>
      </c>
      <c r="BI18" s="47">
        <f>IF('Pasted_Exports'!BI18&lt;&gt;"",'Pasted_Exports'!BI18,'File_Intake'!BI18)</f>
        <v/>
      </c>
      <c r="BJ18" s="47">
        <f>IF('Pasted_Exports'!BJ18&lt;&gt;"",'Pasted_Exports'!BJ18,'File_Intake'!BJ18)</f>
        <v/>
      </c>
      <c r="BK18" s="47">
        <f>IF('Pasted_Exports'!BK18&lt;&gt;"",'Pasted_Exports'!BK18,'File_Intake'!BK18)</f>
        <v/>
      </c>
      <c r="BL18" s="47">
        <f>IF('Pasted_Exports'!BL18&lt;&gt;"",'Pasted_Exports'!BL18,'File_Intake'!BL18)</f>
        <v/>
      </c>
      <c r="BM18" s="47">
        <f>IF('Pasted_Exports'!BM18&lt;&gt;"",'Pasted_Exports'!BM18,'File_Intake'!BM18)</f>
        <v/>
      </c>
      <c r="BN18" s="47">
        <f>IF('Pasted_Exports'!BN18&lt;&gt;"",'Pasted_Exports'!BN18,'File_Intake'!BN18)</f>
        <v/>
      </c>
      <c r="BO18" s="47">
        <f>IF('Pasted_Exports'!BO18&lt;&gt;"",'Pasted_Exports'!BO18,'File_Intake'!BO18)</f>
        <v/>
      </c>
      <c r="BP18" s="47">
        <f>IF('Pasted_Exports'!BP18&lt;&gt;"",'Pasted_Exports'!BP18,'File_Intake'!BP18)</f>
        <v/>
      </c>
      <c r="BQ18" s="47">
        <f>IF('Pasted_Exports'!BQ18&lt;&gt;"",'Pasted_Exports'!BQ18,'File_Intake'!BQ18)</f>
        <v/>
      </c>
      <c r="BR18" s="47">
        <f>IF('Pasted_Exports'!BR18&lt;&gt;"",'Pasted_Exports'!BR18,'File_Intake'!BR18)</f>
        <v/>
      </c>
      <c r="BS18" s="47">
        <f>IF('Pasted_Exports'!BS18&lt;&gt;"",'Pasted_Exports'!BS18,'File_Intake'!BS18)</f>
        <v/>
      </c>
      <c r="BT18" s="47">
        <f>IF('Pasted_Exports'!BT18&lt;&gt;"",'Pasted_Exports'!BT18,'File_Intake'!BT18)</f>
        <v/>
      </c>
      <c r="BU18" s="47">
        <f>IF('Pasted_Exports'!BU18&lt;&gt;"",'Pasted_Exports'!BU18,'File_Intake'!BU18)</f>
        <v/>
      </c>
      <c r="BV18" s="47">
        <f>IF('Pasted_Exports'!BV18&lt;&gt;"",'Pasted_Exports'!BV18,'File_Intake'!BV18)</f>
        <v/>
      </c>
      <c r="BW18" s="47">
        <f>IF('Pasted_Exports'!BW18&lt;&gt;"",'Pasted_Exports'!BW18,'File_Intake'!BW18)</f>
        <v/>
      </c>
      <c r="BX18" s="29">
        <f>IF(AND($A18&lt;&gt;"",$B18&lt;&gt;"",$K18&gt;='Study_Setup'!$B$14,$L18&gt;='Study_Setup'!$B$15),1,0)</f>
        <v/>
      </c>
      <c r="BY18" s="30">
        <f>IF($A18="","",TEXTJOIN("; ",TRUE,IF($B18="","Missing arm",""),IF($K18&lt;'Study_Setup'!$B$14,"Low off-days",""),IF($L18&lt;'Study_Setup'!$B$15,"Low on-days",""),IF($AM18&gt;'Study_Setup'!$B$19,"Hypo burden increased","")))</f>
        <v/>
      </c>
      <c r="BZ18" s="61">
        <f>IFERROR($M18-$N18,"")</f>
        <v/>
      </c>
      <c r="CA18" s="62">
        <f>IFERROR(($M18-$N18)/$M18,"")</f>
        <v/>
      </c>
      <c r="CB18" s="33">
        <f>IFERROR($P18-$Q18,"")</f>
        <v/>
      </c>
      <c r="CC18" s="63">
        <f>IFERROR($T18-$S18,"")</f>
        <v/>
      </c>
      <c r="CD18" s="33">
        <f>IFERROR($AH18-$AI18,"")</f>
        <v/>
      </c>
      <c r="CE18" s="62">
        <f>IFERROR(($AH18-$AI18)/$AH18,"")</f>
        <v/>
      </c>
      <c r="CF18" s="33">
        <f>IFERROR($AQ18-$AR18,"")</f>
        <v/>
      </c>
      <c r="CG18" s="61">
        <f>IFERROR($BO18-$BP18,"")</f>
        <v/>
      </c>
      <c r="CH18" s="61">
        <f>IFERROR($BI18-$BJ18,"")</f>
        <v/>
      </c>
      <c r="CI18" s="61">
        <f>IFERROR($BL18-$BM18,"")</f>
        <v/>
      </c>
      <c r="CJ18" s="61">
        <f>IFERROR($BF18-$BG18,"")</f>
        <v/>
      </c>
      <c r="CK18" s="33">
        <f>IFERROR($BC18-$BD18,"")</f>
        <v/>
      </c>
      <c r="CL18" s="29">
        <f>IF($A18="","",IF($AM18&lt;='Study_Setup'!$B$19,1,0))</f>
        <v/>
      </c>
      <c r="CM18" s="29">
        <f>IF($A18="","",IF(AND($BZ18&gt;='Study_Setup'!$B$16,$CC18&gt;='Study_Setup'!$B$17,$CE18&gt;='Study_Setup'!$B$18,$CL18=1),1,0))</f>
        <v/>
      </c>
      <c r="CN18" s="61">
        <f>IFERROR(40*MIN(1,$BZ18/'Study_Setup'!$B$16)+25*MIN(1,$CC18/'Study_Setup'!$B$17)+25*MIN(1,$CE18/'Study_Setup'!$B$18)+10*$CL18,"")</f>
        <v/>
      </c>
      <c r="CO18">
        <f>IF('Pasted_Exports'!BX18&lt;&gt;"",'Pasted_Exports'!BX18,'File_Intake'!BX18)</f>
        <v/>
      </c>
      <c r="CP18" s="57">
        <f>IF('Pasted_Exports'!BY18&lt;&gt;"",'Pasted_Exports'!BY18,'File_Intake'!BY18)</f>
        <v/>
      </c>
      <c r="CQ18" s="57">
        <f>IF('Pasted_Exports'!BZ18&lt;&gt;"",'Pasted_Exports'!BZ18,'File_Intake'!BZ18)</f>
        <v/>
      </c>
      <c r="CR18" s="57">
        <f>IF('Pasted_Exports'!CA18&lt;&gt;"",'Pasted_Exports'!CA18,'File_Intake'!CA18)</f>
        <v/>
      </c>
      <c r="CS18" s="58">
        <f>IF('Pasted_Exports'!CB18&lt;&gt;"",'Pasted_Exports'!CB18,'File_Intake'!CB18)</f>
        <v/>
      </c>
      <c r="CT18" s="59">
        <f>IF('Pasted_Exports'!CC18&lt;&gt;"",'Pasted_Exports'!CC18,'File_Intake'!CC18)</f>
        <v/>
      </c>
      <c r="CU18">
        <f>IF('Pasted_Exports'!CD18&lt;&gt;"",'Pasted_Exports'!CD18,'File_Intake'!CD18)</f>
        <v/>
      </c>
      <c r="CV18">
        <f>IF('Pasted_Exports'!CE18&lt;&gt;"",'Pasted_Exports'!CE18,'File_Intake'!CE18)</f>
        <v/>
      </c>
      <c r="CW18" s="60">
        <f>IF('Pasted_Exports'!CF18&lt;&gt;"",'Pasted_Exports'!CF18,'File_Intake'!CF18)</f>
        <v/>
      </c>
      <c r="CX18" s="60">
        <f>IF('Pasted_Exports'!CG18&lt;&gt;"",'Pasted_Exports'!CG18,'File_Intake'!CG18)</f>
        <v/>
      </c>
      <c r="CY18">
        <f>IF('Pasted_Exports'!CH18&lt;&gt;"",'Pasted_Exports'!CH18,'File_Intake'!CH18)</f>
        <v/>
      </c>
    </row>
    <row r="19">
      <c r="A19" s="24">
        <f>IF('Pasted_Exports'!A19&lt;&gt;"",'Pasted_Exports'!A19,'File_Intake'!A19)</f>
        <v/>
      </c>
      <c r="B19" s="24">
        <f>IF('Pasted_Exports'!B19&lt;&gt;"",'Pasted_Exports'!B19,'File_Intake'!B19)</f>
        <v/>
      </c>
      <c r="C19" s="24">
        <f>IF('Pasted_Exports'!C19&lt;&gt;"",'Pasted_Exports'!C19,'File_Intake'!C19)</f>
        <v/>
      </c>
      <c r="D19" s="24">
        <f>IF('Pasted_Exports'!D19&lt;&gt;"",'Pasted_Exports'!D19,'File_Intake'!D19)</f>
        <v/>
      </c>
      <c r="E19" s="55">
        <f>IF('Pasted_Exports'!E19&lt;&gt;"",'Pasted_Exports'!E19,'File_Intake'!E19)</f>
        <v/>
      </c>
      <c r="F19" s="26">
        <f>IF('Pasted_Exports'!F19&lt;&gt;"",'Pasted_Exports'!F19,'File_Intake'!F19)</f>
        <v/>
      </c>
      <c r="G19" s="26">
        <f>IF('Pasted_Exports'!G19&lt;&gt;"",'Pasted_Exports'!G19,'File_Intake'!G19)</f>
        <v/>
      </c>
      <c r="H19" s="47">
        <f>IF('Pasted_Exports'!H19&lt;&gt;"",'Pasted_Exports'!H19,'File_Intake'!H19)</f>
        <v/>
      </c>
      <c r="I19" s="26">
        <f>IF('Pasted_Exports'!I19&lt;&gt;"",'Pasted_Exports'!I19,'File_Intake'!I19)</f>
        <v/>
      </c>
      <c r="J19" s="26">
        <f>IF('Pasted_Exports'!J19&lt;&gt;"",'Pasted_Exports'!J19,'File_Intake'!J19)</f>
        <v/>
      </c>
      <c r="K19" s="47">
        <f>IF('Pasted_Exports'!K19&lt;&gt;"",'Pasted_Exports'!K19,'File_Intake'!K19)</f>
        <v/>
      </c>
      <c r="L19" s="47">
        <f>IF('Pasted_Exports'!L19&lt;&gt;"",'Pasted_Exports'!L19,'File_Intake'!L19)</f>
        <v/>
      </c>
      <c r="M19" s="47">
        <f>IF('Pasted_Exports'!M19&lt;&gt;"",'Pasted_Exports'!M19,'File_Intake'!M19)</f>
        <v/>
      </c>
      <c r="N19" s="47">
        <f>IF('Pasted_Exports'!N19&lt;&gt;"",'Pasted_Exports'!N19,'File_Intake'!N19)</f>
        <v/>
      </c>
      <c r="O19" s="47">
        <f>IF('Pasted_Exports'!O19&lt;&gt;"",'Pasted_Exports'!O19,'File_Intake'!O19)</f>
        <v/>
      </c>
      <c r="P19" s="27">
        <f>IF('Pasted_Exports'!P19&lt;&gt;"",'Pasted_Exports'!P19,'File_Intake'!P19)</f>
        <v/>
      </c>
      <c r="Q19" s="27">
        <f>IF('Pasted_Exports'!Q19&lt;&gt;"",'Pasted_Exports'!Q19,'File_Intake'!Q19)</f>
        <v/>
      </c>
      <c r="R19" s="27">
        <f>IF('Pasted_Exports'!R19&lt;&gt;"",'Pasted_Exports'!R19,'File_Intake'!R19)</f>
        <v/>
      </c>
      <c r="S19" s="56">
        <f>IF('Pasted_Exports'!S19&lt;&gt;"",'Pasted_Exports'!S19,'File_Intake'!S19)</f>
        <v/>
      </c>
      <c r="T19" s="56">
        <f>IF('Pasted_Exports'!T19&lt;&gt;"",'Pasted_Exports'!T19,'File_Intake'!T19)</f>
        <v/>
      </c>
      <c r="U19" s="56">
        <f>IF('Pasted_Exports'!U19&lt;&gt;"",'Pasted_Exports'!U19,'File_Intake'!U19)</f>
        <v/>
      </c>
      <c r="V19" s="56">
        <f>IF('Pasted_Exports'!V19&lt;&gt;"",'Pasted_Exports'!V19,'File_Intake'!V19)</f>
        <v/>
      </c>
      <c r="W19" s="56">
        <f>IF('Pasted_Exports'!W19&lt;&gt;"",'Pasted_Exports'!W19,'File_Intake'!W19)</f>
        <v/>
      </c>
      <c r="X19" s="56">
        <f>IF('Pasted_Exports'!X19&lt;&gt;"",'Pasted_Exports'!X19,'File_Intake'!X19)</f>
        <v/>
      </c>
      <c r="Y19" s="56">
        <f>IF('Pasted_Exports'!Y19&lt;&gt;"",'Pasted_Exports'!Y19,'File_Intake'!Y19)</f>
        <v/>
      </c>
      <c r="Z19" s="56">
        <f>IF('Pasted_Exports'!Z19&lt;&gt;"",'Pasted_Exports'!Z19,'File_Intake'!Z19)</f>
        <v/>
      </c>
      <c r="AA19" s="56">
        <f>IF('Pasted_Exports'!AA19&lt;&gt;"",'Pasted_Exports'!AA19,'File_Intake'!AA19)</f>
        <v/>
      </c>
      <c r="AB19" s="56">
        <f>IF('Pasted_Exports'!AB19&lt;&gt;"",'Pasted_Exports'!AB19,'File_Intake'!AB19)</f>
        <v/>
      </c>
      <c r="AC19" s="56">
        <f>IF('Pasted_Exports'!AC19&lt;&gt;"",'Pasted_Exports'!AC19,'File_Intake'!AC19)</f>
        <v/>
      </c>
      <c r="AD19" s="56">
        <f>IF('Pasted_Exports'!AD19&lt;&gt;"",'Pasted_Exports'!AD19,'File_Intake'!AD19)</f>
        <v/>
      </c>
      <c r="AE19" s="56">
        <f>IF('Pasted_Exports'!AE19&lt;&gt;"",'Pasted_Exports'!AE19,'File_Intake'!AE19)</f>
        <v/>
      </c>
      <c r="AF19" s="56">
        <f>IF('Pasted_Exports'!AF19&lt;&gt;"",'Pasted_Exports'!AF19,'File_Intake'!AF19)</f>
        <v/>
      </c>
      <c r="AG19" s="56">
        <f>IF('Pasted_Exports'!AG19&lt;&gt;"",'Pasted_Exports'!AG19,'File_Intake'!AG19)</f>
        <v/>
      </c>
      <c r="AH19" s="27">
        <f>IF('Pasted_Exports'!AH19&lt;&gt;"",'Pasted_Exports'!AH19,'File_Intake'!AH19)</f>
        <v/>
      </c>
      <c r="AI19" s="27">
        <f>IF('Pasted_Exports'!AI19&lt;&gt;"",'Pasted_Exports'!AI19,'File_Intake'!AI19)</f>
        <v/>
      </c>
      <c r="AJ19" s="27">
        <f>IF('Pasted_Exports'!AJ19&lt;&gt;"",'Pasted_Exports'!AJ19,'File_Intake'!AJ19)</f>
        <v/>
      </c>
      <c r="AK19" s="27">
        <f>IF('Pasted_Exports'!AK19&lt;&gt;"",'Pasted_Exports'!AK19,'File_Intake'!AK19)</f>
        <v/>
      </c>
      <c r="AL19" s="27">
        <f>IF('Pasted_Exports'!AL19&lt;&gt;"",'Pasted_Exports'!AL19,'File_Intake'!AL19)</f>
        <v/>
      </c>
      <c r="AM19" s="27">
        <f>IF('Pasted_Exports'!AM19&lt;&gt;"",'Pasted_Exports'!AM19,'File_Intake'!AM19)</f>
        <v/>
      </c>
      <c r="AN19" s="27">
        <f>IF('Pasted_Exports'!AN19&lt;&gt;"",'Pasted_Exports'!AN19,'File_Intake'!AN19)</f>
        <v/>
      </c>
      <c r="AO19" s="27">
        <f>IF('Pasted_Exports'!AO19&lt;&gt;"",'Pasted_Exports'!AO19,'File_Intake'!AO19)</f>
        <v/>
      </c>
      <c r="AP19" s="27">
        <f>IF('Pasted_Exports'!AP19&lt;&gt;"",'Pasted_Exports'!AP19,'File_Intake'!AP19)</f>
        <v/>
      </c>
      <c r="AQ19" s="27">
        <f>IF('Pasted_Exports'!AQ19&lt;&gt;"",'Pasted_Exports'!AQ19,'File_Intake'!AQ19)</f>
        <v/>
      </c>
      <c r="AR19" s="27">
        <f>IF('Pasted_Exports'!AR19&lt;&gt;"",'Pasted_Exports'!AR19,'File_Intake'!AR19)</f>
        <v/>
      </c>
      <c r="AS19" s="27">
        <f>IF('Pasted_Exports'!AS19&lt;&gt;"",'Pasted_Exports'!AS19,'File_Intake'!AS19)</f>
        <v/>
      </c>
      <c r="AT19" s="47">
        <f>IF('Pasted_Exports'!AT19&lt;&gt;"",'Pasted_Exports'!AT19,'File_Intake'!AT19)</f>
        <v/>
      </c>
      <c r="AU19" s="47">
        <f>IF('Pasted_Exports'!AU19&lt;&gt;"",'Pasted_Exports'!AU19,'File_Intake'!AU19)</f>
        <v/>
      </c>
      <c r="AV19" s="47">
        <f>IF('Pasted_Exports'!AV19&lt;&gt;"",'Pasted_Exports'!AV19,'File_Intake'!AV19)</f>
        <v/>
      </c>
      <c r="AW19" s="56">
        <f>IF('Pasted_Exports'!AW19&lt;&gt;"",'Pasted_Exports'!AW19,'File_Intake'!AW19)</f>
        <v/>
      </c>
      <c r="AX19" s="56">
        <f>IF('Pasted_Exports'!AX19&lt;&gt;"",'Pasted_Exports'!AX19,'File_Intake'!AX19)</f>
        <v/>
      </c>
      <c r="AY19" s="56">
        <f>IF('Pasted_Exports'!AY19&lt;&gt;"",'Pasted_Exports'!AY19,'File_Intake'!AY19)</f>
        <v/>
      </c>
      <c r="AZ19" s="47">
        <f>IF('Pasted_Exports'!AZ19&lt;&gt;"",'Pasted_Exports'!AZ19,'File_Intake'!AZ19)</f>
        <v/>
      </c>
      <c r="BA19" s="47">
        <f>IF('Pasted_Exports'!BA19&lt;&gt;"",'Pasted_Exports'!BA19,'File_Intake'!BA19)</f>
        <v/>
      </c>
      <c r="BB19" s="47">
        <f>IF('Pasted_Exports'!BB19&lt;&gt;"",'Pasted_Exports'!BB19,'File_Intake'!BB19)</f>
        <v/>
      </c>
      <c r="BC19" s="27">
        <f>IF('Pasted_Exports'!BC19&lt;&gt;"",'Pasted_Exports'!BC19,'File_Intake'!BC19)</f>
        <v/>
      </c>
      <c r="BD19" s="27">
        <f>IF('Pasted_Exports'!BD19&lt;&gt;"",'Pasted_Exports'!BD19,'File_Intake'!BD19)</f>
        <v/>
      </c>
      <c r="BE19" s="27">
        <f>IF('Pasted_Exports'!BE19&lt;&gt;"",'Pasted_Exports'!BE19,'File_Intake'!BE19)</f>
        <v/>
      </c>
      <c r="BF19" s="47">
        <f>IF('Pasted_Exports'!BF19&lt;&gt;"",'Pasted_Exports'!BF19,'File_Intake'!BF19)</f>
        <v/>
      </c>
      <c r="BG19" s="47">
        <f>IF('Pasted_Exports'!BG19&lt;&gt;"",'Pasted_Exports'!BG19,'File_Intake'!BG19)</f>
        <v/>
      </c>
      <c r="BH19" s="47">
        <f>IF('Pasted_Exports'!BH19&lt;&gt;"",'Pasted_Exports'!BH19,'File_Intake'!BH19)</f>
        <v/>
      </c>
      <c r="BI19" s="47">
        <f>IF('Pasted_Exports'!BI19&lt;&gt;"",'Pasted_Exports'!BI19,'File_Intake'!BI19)</f>
        <v/>
      </c>
      <c r="BJ19" s="47">
        <f>IF('Pasted_Exports'!BJ19&lt;&gt;"",'Pasted_Exports'!BJ19,'File_Intake'!BJ19)</f>
        <v/>
      </c>
      <c r="BK19" s="47">
        <f>IF('Pasted_Exports'!BK19&lt;&gt;"",'Pasted_Exports'!BK19,'File_Intake'!BK19)</f>
        <v/>
      </c>
      <c r="BL19" s="47">
        <f>IF('Pasted_Exports'!BL19&lt;&gt;"",'Pasted_Exports'!BL19,'File_Intake'!BL19)</f>
        <v/>
      </c>
      <c r="BM19" s="47">
        <f>IF('Pasted_Exports'!BM19&lt;&gt;"",'Pasted_Exports'!BM19,'File_Intake'!BM19)</f>
        <v/>
      </c>
      <c r="BN19" s="47">
        <f>IF('Pasted_Exports'!BN19&lt;&gt;"",'Pasted_Exports'!BN19,'File_Intake'!BN19)</f>
        <v/>
      </c>
      <c r="BO19" s="47">
        <f>IF('Pasted_Exports'!BO19&lt;&gt;"",'Pasted_Exports'!BO19,'File_Intake'!BO19)</f>
        <v/>
      </c>
      <c r="BP19" s="47">
        <f>IF('Pasted_Exports'!BP19&lt;&gt;"",'Pasted_Exports'!BP19,'File_Intake'!BP19)</f>
        <v/>
      </c>
      <c r="BQ19" s="47">
        <f>IF('Pasted_Exports'!BQ19&lt;&gt;"",'Pasted_Exports'!BQ19,'File_Intake'!BQ19)</f>
        <v/>
      </c>
      <c r="BR19" s="47">
        <f>IF('Pasted_Exports'!BR19&lt;&gt;"",'Pasted_Exports'!BR19,'File_Intake'!BR19)</f>
        <v/>
      </c>
      <c r="BS19" s="47">
        <f>IF('Pasted_Exports'!BS19&lt;&gt;"",'Pasted_Exports'!BS19,'File_Intake'!BS19)</f>
        <v/>
      </c>
      <c r="BT19" s="47">
        <f>IF('Pasted_Exports'!BT19&lt;&gt;"",'Pasted_Exports'!BT19,'File_Intake'!BT19)</f>
        <v/>
      </c>
      <c r="BU19" s="47">
        <f>IF('Pasted_Exports'!BU19&lt;&gt;"",'Pasted_Exports'!BU19,'File_Intake'!BU19)</f>
        <v/>
      </c>
      <c r="BV19" s="47">
        <f>IF('Pasted_Exports'!BV19&lt;&gt;"",'Pasted_Exports'!BV19,'File_Intake'!BV19)</f>
        <v/>
      </c>
      <c r="BW19" s="47">
        <f>IF('Pasted_Exports'!BW19&lt;&gt;"",'Pasted_Exports'!BW19,'File_Intake'!BW19)</f>
        <v/>
      </c>
      <c r="BX19" s="29">
        <f>IF(AND($A19&lt;&gt;"",$B19&lt;&gt;"",$K19&gt;='Study_Setup'!$B$14,$L19&gt;='Study_Setup'!$B$15),1,0)</f>
        <v/>
      </c>
      <c r="BY19" s="30">
        <f>IF($A19="","",TEXTJOIN("; ",TRUE,IF($B19="","Missing arm",""),IF($K19&lt;'Study_Setup'!$B$14,"Low off-days",""),IF($L19&lt;'Study_Setup'!$B$15,"Low on-days",""),IF($AM19&gt;'Study_Setup'!$B$19,"Hypo burden increased","")))</f>
        <v/>
      </c>
      <c r="BZ19" s="61">
        <f>IFERROR($M19-$N19,"")</f>
        <v/>
      </c>
      <c r="CA19" s="62">
        <f>IFERROR(($M19-$N19)/$M19,"")</f>
        <v/>
      </c>
      <c r="CB19" s="33">
        <f>IFERROR($P19-$Q19,"")</f>
        <v/>
      </c>
      <c r="CC19" s="63">
        <f>IFERROR($T19-$S19,"")</f>
        <v/>
      </c>
      <c r="CD19" s="33">
        <f>IFERROR($AH19-$AI19,"")</f>
        <v/>
      </c>
      <c r="CE19" s="62">
        <f>IFERROR(($AH19-$AI19)/$AH19,"")</f>
        <v/>
      </c>
      <c r="CF19" s="33">
        <f>IFERROR($AQ19-$AR19,"")</f>
        <v/>
      </c>
      <c r="CG19" s="61">
        <f>IFERROR($BO19-$BP19,"")</f>
        <v/>
      </c>
      <c r="CH19" s="61">
        <f>IFERROR($BI19-$BJ19,"")</f>
        <v/>
      </c>
      <c r="CI19" s="61">
        <f>IFERROR($BL19-$BM19,"")</f>
        <v/>
      </c>
      <c r="CJ19" s="61">
        <f>IFERROR($BF19-$BG19,"")</f>
        <v/>
      </c>
      <c r="CK19" s="33">
        <f>IFERROR($BC19-$BD19,"")</f>
        <v/>
      </c>
      <c r="CL19" s="29">
        <f>IF($A19="","",IF($AM19&lt;='Study_Setup'!$B$19,1,0))</f>
        <v/>
      </c>
      <c r="CM19" s="29">
        <f>IF($A19="","",IF(AND($BZ19&gt;='Study_Setup'!$B$16,$CC19&gt;='Study_Setup'!$B$17,$CE19&gt;='Study_Setup'!$B$18,$CL19=1),1,0))</f>
        <v/>
      </c>
      <c r="CN19" s="61">
        <f>IFERROR(40*MIN(1,$BZ19/'Study_Setup'!$B$16)+25*MIN(1,$CC19/'Study_Setup'!$B$17)+25*MIN(1,$CE19/'Study_Setup'!$B$18)+10*$CL19,"")</f>
        <v/>
      </c>
      <c r="CO19">
        <f>IF('Pasted_Exports'!BX19&lt;&gt;"",'Pasted_Exports'!BX19,'File_Intake'!BX19)</f>
        <v/>
      </c>
      <c r="CP19" s="57">
        <f>IF('Pasted_Exports'!BY19&lt;&gt;"",'Pasted_Exports'!BY19,'File_Intake'!BY19)</f>
        <v/>
      </c>
      <c r="CQ19" s="57">
        <f>IF('Pasted_Exports'!BZ19&lt;&gt;"",'Pasted_Exports'!BZ19,'File_Intake'!BZ19)</f>
        <v/>
      </c>
      <c r="CR19" s="57">
        <f>IF('Pasted_Exports'!CA19&lt;&gt;"",'Pasted_Exports'!CA19,'File_Intake'!CA19)</f>
        <v/>
      </c>
      <c r="CS19" s="58">
        <f>IF('Pasted_Exports'!CB19&lt;&gt;"",'Pasted_Exports'!CB19,'File_Intake'!CB19)</f>
        <v/>
      </c>
      <c r="CT19" s="59">
        <f>IF('Pasted_Exports'!CC19&lt;&gt;"",'Pasted_Exports'!CC19,'File_Intake'!CC19)</f>
        <v/>
      </c>
      <c r="CU19">
        <f>IF('Pasted_Exports'!CD19&lt;&gt;"",'Pasted_Exports'!CD19,'File_Intake'!CD19)</f>
        <v/>
      </c>
      <c r="CV19">
        <f>IF('Pasted_Exports'!CE19&lt;&gt;"",'Pasted_Exports'!CE19,'File_Intake'!CE19)</f>
        <v/>
      </c>
      <c r="CW19" s="60">
        <f>IF('Pasted_Exports'!CF19&lt;&gt;"",'Pasted_Exports'!CF19,'File_Intake'!CF19)</f>
        <v/>
      </c>
      <c r="CX19" s="60">
        <f>IF('Pasted_Exports'!CG19&lt;&gt;"",'Pasted_Exports'!CG19,'File_Intake'!CG19)</f>
        <v/>
      </c>
      <c r="CY19">
        <f>IF('Pasted_Exports'!CH19&lt;&gt;"",'Pasted_Exports'!CH19,'File_Intake'!CH19)</f>
        <v/>
      </c>
    </row>
    <row r="20">
      <c r="A20" s="24">
        <f>IF('Pasted_Exports'!A20&lt;&gt;"",'Pasted_Exports'!A20,'File_Intake'!A20)</f>
        <v/>
      </c>
      <c r="B20" s="24">
        <f>IF('Pasted_Exports'!B20&lt;&gt;"",'Pasted_Exports'!B20,'File_Intake'!B20)</f>
        <v/>
      </c>
      <c r="C20" s="24">
        <f>IF('Pasted_Exports'!C20&lt;&gt;"",'Pasted_Exports'!C20,'File_Intake'!C20)</f>
        <v/>
      </c>
      <c r="D20" s="24">
        <f>IF('Pasted_Exports'!D20&lt;&gt;"",'Pasted_Exports'!D20,'File_Intake'!D20)</f>
        <v/>
      </c>
      <c r="E20" s="55">
        <f>IF('Pasted_Exports'!E20&lt;&gt;"",'Pasted_Exports'!E20,'File_Intake'!E20)</f>
        <v/>
      </c>
      <c r="F20" s="26">
        <f>IF('Pasted_Exports'!F20&lt;&gt;"",'Pasted_Exports'!F20,'File_Intake'!F20)</f>
        <v/>
      </c>
      <c r="G20" s="26">
        <f>IF('Pasted_Exports'!G20&lt;&gt;"",'Pasted_Exports'!G20,'File_Intake'!G20)</f>
        <v/>
      </c>
      <c r="H20" s="47">
        <f>IF('Pasted_Exports'!H20&lt;&gt;"",'Pasted_Exports'!H20,'File_Intake'!H20)</f>
        <v/>
      </c>
      <c r="I20" s="26">
        <f>IF('Pasted_Exports'!I20&lt;&gt;"",'Pasted_Exports'!I20,'File_Intake'!I20)</f>
        <v/>
      </c>
      <c r="J20" s="26">
        <f>IF('Pasted_Exports'!J20&lt;&gt;"",'Pasted_Exports'!J20,'File_Intake'!J20)</f>
        <v/>
      </c>
      <c r="K20" s="47">
        <f>IF('Pasted_Exports'!K20&lt;&gt;"",'Pasted_Exports'!K20,'File_Intake'!K20)</f>
        <v/>
      </c>
      <c r="L20" s="47">
        <f>IF('Pasted_Exports'!L20&lt;&gt;"",'Pasted_Exports'!L20,'File_Intake'!L20)</f>
        <v/>
      </c>
      <c r="M20" s="47">
        <f>IF('Pasted_Exports'!M20&lt;&gt;"",'Pasted_Exports'!M20,'File_Intake'!M20)</f>
        <v/>
      </c>
      <c r="N20" s="47">
        <f>IF('Pasted_Exports'!N20&lt;&gt;"",'Pasted_Exports'!N20,'File_Intake'!N20)</f>
        <v/>
      </c>
      <c r="O20" s="47">
        <f>IF('Pasted_Exports'!O20&lt;&gt;"",'Pasted_Exports'!O20,'File_Intake'!O20)</f>
        <v/>
      </c>
      <c r="P20" s="27">
        <f>IF('Pasted_Exports'!P20&lt;&gt;"",'Pasted_Exports'!P20,'File_Intake'!P20)</f>
        <v/>
      </c>
      <c r="Q20" s="27">
        <f>IF('Pasted_Exports'!Q20&lt;&gt;"",'Pasted_Exports'!Q20,'File_Intake'!Q20)</f>
        <v/>
      </c>
      <c r="R20" s="27">
        <f>IF('Pasted_Exports'!R20&lt;&gt;"",'Pasted_Exports'!R20,'File_Intake'!R20)</f>
        <v/>
      </c>
      <c r="S20" s="56">
        <f>IF('Pasted_Exports'!S20&lt;&gt;"",'Pasted_Exports'!S20,'File_Intake'!S20)</f>
        <v/>
      </c>
      <c r="T20" s="56">
        <f>IF('Pasted_Exports'!T20&lt;&gt;"",'Pasted_Exports'!T20,'File_Intake'!T20)</f>
        <v/>
      </c>
      <c r="U20" s="56">
        <f>IF('Pasted_Exports'!U20&lt;&gt;"",'Pasted_Exports'!U20,'File_Intake'!U20)</f>
        <v/>
      </c>
      <c r="V20" s="56">
        <f>IF('Pasted_Exports'!V20&lt;&gt;"",'Pasted_Exports'!V20,'File_Intake'!V20)</f>
        <v/>
      </c>
      <c r="W20" s="56">
        <f>IF('Pasted_Exports'!W20&lt;&gt;"",'Pasted_Exports'!W20,'File_Intake'!W20)</f>
        <v/>
      </c>
      <c r="X20" s="56">
        <f>IF('Pasted_Exports'!X20&lt;&gt;"",'Pasted_Exports'!X20,'File_Intake'!X20)</f>
        <v/>
      </c>
      <c r="Y20" s="56">
        <f>IF('Pasted_Exports'!Y20&lt;&gt;"",'Pasted_Exports'!Y20,'File_Intake'!Y20)</f>
        <v/>
      </c>
      <c r="Z20" s="56">
        <f>IF('Pasted_Exports'!Z20&lt;&gt;"",'Pasted_Exports'!Z20,'File_Intake'!Z20)</f>
        <v/>
      </c>
      <c r="AA20" s="56">
        <f>IF('Pasted_Exports'!AA20&lt;&gt;"",'Pasted_Exports'!AA20,'File_Intake'!AA20)</f>
        <v/>
      </c>
      <c r="AB20" s="56">
        <f>IF('Pasted_Exports'!AB20&lt;&gt;"",'Pasted_Exports'!AB20,'File_Intake'!AB20)</f>
        <v/>
      </c>
      <c r="AC20" s="56">
        <f>IF('Pasted_Exports'!AC20&lt;&gt;"",'Pasted_Exports'!AC20,'File_Intake'!AC20)</f>
        <v/>
      </c>
      <c r="AD20" s="56">
        <f>IF('Pasted_Exports'!AD20&lt;&gt;"",'Pasted_Exports'!AD20,'File_Intake'!AD20)</f>
        <v/>
      </c>
      <c r="AE20" s="56">
        <f>IF('Pasted_Exports'!AE20&lt;&gt;"",'Pasted_Exports'!AE20,'File_Intake'!AE20)</f>
        <v/>
      </c>
      <c r="AF20" s="56">
        <f>IF('Pasted_Exports'!AF20&lt;&gt;"",'Pasted_Exports'!AF20,'File_Intake'!AF20)</f>
        <v/>
      </c>
      <c r="AG20" s="56">
        <f>IF('Pasted_Exports'!AG20&lt;&gt;"",'Pasted_Exports'!AG20,'File_Intake'!AG20)</f>
        <v/>
      </c>
      <c r="AH20" s="27">
        <f>IF('Pasted_Exports'!AH20&lt;&gt;"",'Pasted_Exports'!AH20,'File_Intake'!AH20)</f>
        <v/>
      </c>
      <c r="AI20" s="27">
        <f>IF('Pasted_Exports'!AI20&lt;&gt;"",'Pasted_Exports'!AI20,'File_Intake'!AI20)</f>
        <v/>
      </c>
      <c r="AJ20" s="27">
        <f>IF('Pasted_Exports'!AJ20&lt;&gt;"",'Pasted_Exports'!AJ20,'File_Intake'!AJ20)</f>
        <v/>
      </c>
      <c r="AK20" s="27">
        <f>IF('Pasted_Exports'!AK20&lt;&gt;"",'Pasted_Exports'!AK20,'File_Intake'!AK20)</f>
        <v/>
      </c>
      <c r="AL20" s="27">
        <f>IF('Pasted_Exports'!AL20&lt;&gt;"",'Pasted_Exports'!AL20,'File_Intake'!AL20)</f>
        <v/>
      </c>
      <c r="AM20" s="27">
        <f>IF('Pasted_Exports'!AM20&lt;&gt;"",'Pasted_Exports'!AM20,'File_Intake'!AM20)</f>
        <v/>
      </c>
      <c r="AN20" s="27">
        <f>IF('Pasted_Exports'!AN20&lt;&gt;"",'Pasted_Exports'!AN20,'File_Intake'!AN20)</f>
        <v/>
      </c>
      <c r="AO20" s="27">
        <f>IF('Pasted_Exports'!AO20&lt;&gt;"",'Pasted_Exports'!AO20,'File_Intake'!AO20)</f>
        <v/>
      </c>
      <c r="AP20" s="27">
        <f>IF('Pasted_Exports'!AP20&lt;&gt;"",'Pasted_Exports'!AP20,'File_Intake'!AP20)</f>
        <v/>
      </c>
      <c r="AQ20" s="27">
        <f>IF('Pasted_Exports'!AQ20&lt;&gt;"",'Pasted_Exports'!AQ20,'File_Intake'!AQ20)</f>
        <v/>
      </c>
      <c r="AR20" s="27">
        <f>IF('Pasted_Exports'!AR20&lt;&gt;"",'Pasted_Exports'!AR20,'File_Intake'!AR20)</f>
        <v/>
      </c>
      <c r="AS20" s="27">
        <f>IF('Pasted_Exports'!AS20&lt;&gt;"",'Pasted_Exports'!AS20,'File_Intake'!AS20)</f>
        <v/>
      </c>
      <c r="AT20" s="47">
        <f>IF('Pasted_Exports'!AT20&lt;&gt;"",'Pasted_Exports'!AT20,'File_Intake'!AT20)</f>
        <v/>
      </c>
      <c r="AU20" s="47">
        <f>IF('Pasted_Exports'!AU20&lt;&gt;"",'Pasted_Exports'!AU20,'File_Intake'!AU20)</f>
        <v/>
      </c>
      <c r="AV20" s="47">
        <f>IF('Pasted_Exports'!AV20&lt;&gt;"",'Pasted_Exports'!AV20,'File_Intake'!AV20)</f>
        <v/>
      </c>
      <c r="AW20" s="56">
        <f>IF('Pasted_Exports'!AW20&lt;&gt;"",'Pasted_Exports'!AW20,'File_Intake'!AW20)</f>
        <v/>
      </c>
      <c r="AX20" s="56">
        <f>IF('Pasted_Exports'!AX20&lt;&gt;"",'Pasted_Exports'!AX20,'File_Intake'!AX20)</f>
        <v/>
      </c>
      <c r="AY20" s="56">
        <f>IF('Pasted_Exports'!AY20&lt;&gt;"",'Pasted_Exports'!AY20,'File_Intake'!AY20)</f>
        <v/>
      </c>
      <c r="AZ20" s="47">
        <f>IF('Pasted_Exports'!AZ20&lt;&gt;"",'Pasted_Exports'!AZ20,'File_Intake'!AZ20)</f>
        <v/>
      </c>
      <c r="BA20" s="47">
        <f>IF('Pasted_Exports'!BA20&lt;&gt;"",'Pasted_Exports'!BA20,'File_Intake'!BA20)</f>
        <v/>
      </c>
      <c r="BB20" s="47">
        <f>IF('Pasted_Exports'!BB20&lt;&gt;"",'Pasted_Exports'!BB20,'File_Intake'!BB20)</f>
        <v/>
      </c>
      <c r="BC20" s="27">
        <f>IF('Pasted_Exports'!BC20&lt;&gt;"",'Pasted_Exports'!BC20,'File_Intake'!BC20)</f>
        <v/>
      </c>
      <c r="BD20" s="27">
        <f>IF('Pasted_Exports'!BD20&lt;&gt;"",'Pasted_Exports'!BD20,'File_Intake'!BD20)</f>
        <v/>
      </c>
      <c r="BE20" s="27">
        <f>IF('Pasted_Exports'!BE20&lt;&gt;"",'Pasted_Exports'!BE20,'File_Intake'!BE20)</f>
        <v/>
      </c>
      <c r="BF20" s="47">
        <f>IF('Pasted_Exports'!BF20&lt;&gt;"",'Pasted_Exports'!BF20,'File_Intake'!BF20)</f>
        <v/>
      </c>
      <c r="BG20" s="47">
        <f>IF('Pasted_Exports'!BG20&lt;&gt;"",'Pasted_Exports'!BG20,'File_Intake'!BG20)</f>
        <v/>
      </c>
      <c r="BH20" s="47">
        <f>IF('Pasted_Exports'!BH20&lt;&gt;"",'Pasted_Exports'!BH20,'File_Intake'!BH20)</f>
        <v/>
      </c>
      <c r="BI20" s="47">
        <f>IF('Pasted_Exports'!BI20&lt;&gt;"",'Pasted_Exports'!BI20,'File_Intake'!BI20)</f>
        <v/>
      </c>
      <c r="BJ20" s="47">
        <f>IF('Pasted_Exports'!BJ20&lt;&gt;"",'Pasted_Exports'!BJ20,'File_Intake'!BJ20)</f>
        <v/>
      </c>
      <c r="BK20" s="47">
        <f>IF('Pasted_Exports'!BK20&lt;&gt;"",'Pasted_Exports'!BK20,'File_Intake'!BK20)</f>
        <v/>
      </c>
      <c r="BL20" s="47">
        <f>IF('Pasted_Exports'!BL20&lt;&gt;"",'Pasted_Exports'!BL20,'File_Intake'!BL20)</f>
        <v/>
      </c>
      <c r="BM20" s="47">
        <f>IF('Pasted_Exports'!BM20&lt;&gt;"",'Pasted_Exports'!BM20,'File_Intake'!BM20)</f>
        <v/>
      </c>
      <c r="BN20" s="47">
        <f>IF('Pasted_Exports'!BN20&lt;&gt;"",'Pasted_Exports'!BN20,'File_Intake'!BN20)</f>
        <v/>
      </c>
      <c r="BO20" s="47">
        <f>IF('Pasted_Exports'!BO20&lt;&gt;"",'Pasted_Exports'!BO20,'File_Intake'!BO20)</f>
        <v/>
      </c>
      <c r="BP20" s="47">
        <f>IF('Pasted_Exports'!BP20&lt;&gt;"",'Pasted_Exports'!BP20,'File_Intake'!BP20)</f>
        <v/>
      </c>
      <c r="BQ20" s="47">
        <f>IF('Pasted_Exports'!BQ20&lt;&gt;"",'Pasted_Exports'!BQ20,'File_Intake'!BQ20)</f>
        <v/>
      </c>
      <c r="BR20" s="47">
        <f>IF('Pasted_Exports'!BR20&lt;&gt;"",'Pasted_Exports'!BR20,'File_Intake'!BR20)</f>
        <v/>
      </c>
      <c r="BS20" s="47">
        <f>IF('Pasted_Exports'!BS20&lt;&gt;"",'Pasted_Exports'!BS20,'File_Intake'!BS20)</f>
        <v/>
      </c>
      <c r="BT20" s="47">
        <f>IF('Pasted_Exports'!BT20&lt;&gt;"",'Pasted_Exports'!BT20,'File_Intake'!BT20)</f>
        <v/>
      </c>
      <c r="BU20" s="47">
        <f>IF('Pasted_Exports'!BU20&lt;&gt;"",'Pasted_Exports'!BU20,'File_Intake'!BU20)</f>
        <v/>
      </c>
      <c r="BV20" s="47">
        <f>IF('Pasted_Exports'!BV20&lt;&gt;"",'Pasted_Exports'!BV20,'File_Intake'!BV20)</f>
        <v/>
      </c>
      <c r="BW20" s="47">
        <f>IF('Pasted_Exports'!BW20&lt;&gt;"",'Pasted_Exports'!BW20,'File_Intake'!BW20)</f>
        <v/>
      </c>
      <c r="BX20" s="29">
        <f>IF(AND($A20&lt;&gt;"",$B20&lt;&gt;"",$K20&gt;='Study_Setup'!$B$14,$L20&gt;='Study_Setup'!$B$15),1,0)</f>
        <v/>
      </c>
      <c r="BY20" s="30">
        <f>IF($A20="","",TEXTJOIN("; ",TRUE,IF($B20="","Missing arm",""),IF($K20&lt;'Study_Setup'!$B$14,"Low off-days",""),IF($L20&lt;'Study_Setup'!$B$15,"Low on-days",""),IF($AM20&gt;'Study_Setup'!$B$19,"Hypo burden increased","")))</f>
        <v/>
      </c>
      <c r="BZ20" s="61">
        <f>IFERROR($M20-$N20,"")</f>
        <v/>
      </c>
      <c r="CA20" s="62">
        <f>IFERROR(($M20-$N20)/$M20,"")</f>
        <v/>
      </c>
      <c r="CB20" s="33">
        <f>IFERROR($P20-$Q20,"")</f>
        <v/>
      </c>
      <c r="CC20" s="63">
        <f>IFERROR($T20-$S20,"")</f>
        <v/>
      </c>
      <c r="CD20" s="33">
        <f>IFERROR($AH20-$AI20,"")</f>
        <v/>
      </c>
      <c r="CE20" s="62">
        <f>IFERROR(($AH20-$AI20)/$AH20,"")</f>
        <v/>
      </c>
      <c r="CF20" s="33">
        <f>IFERROR($AQ20-$AR20,"")</f>
        <v/>
      </c>
      <c r="CG20" s="61">
        <f>IFERROR($BO20-$BP20,"")</f>
        <v/>
      </c>
      <c r="CH20" s="61">
        <f>IFERROR($BI20-$BJ20,"")</f>
        <v/>
      </c>
      <c r="CI20" s="61">
        <f>IFERROR($BL20-$BM20,"")</f>
        <v/>
      </c>
      <c r="CJ20" s="61">
        <f>IFERROR($BF20-$BG20,"")</f>
        <v/>
      </c>
      <c r="CK20" s="33">
        <f>IFERROR($BC20-$BD20,"")</f>
        <v/>
      </c>
      <c r="CL20" s="29">
        <f>IF($A20="","",IF($AM20&lt;='Study_Setup'!$B$19,1,0))</f>
        <v/>
      </c>
      <c r="CM20" s="29">
        <f>IF($A20="","",IF(AND($BZ20&gt;='Study_Setup'!$B$16,$CC20&gt;='Study_Setup'!$B$17,$CE20&gt;='Study_Setup'!$B$18,$CL20=1),1,0))</f>
        <v/>
      </c>
      <c r="CN20" s="61">
        <f>IFERROR(40*MIN(1,$BZ20/'Study_Setup'!$B$16)+25*MIN(1,$CC20/'Study_Setup'!$B$17)+25*MIN(1,$CE20/'Study_Setup'!$B$18)+10*$CL20,"")</f>
        <v/>
      </c>
      <c r="CO20">
        <f>IF('Pasted_Exports'!BX20&lt;&gt;"",'Pasted_Exports'!BX20,'File_Intake'!BX20)</f>
        <v/>
      </c>
      <c r="CP20" s="57">
        <f>IF('Pasted_Exports'!BY20&lt;&gt;"",'Pasted_Exports'!BY20,'File_Intake'!BY20)</f>
        <v/>
      </c>
      <c r="CQ20" s="57">
        <f>IF('Pasted_Exports'!BZ20&lt;&gt;"",'Pasted_Exports'!BZ20,'File_Intake'!BZ20)</f>
        <v/>
      </c>
      <c r="CR20" s="57">
        <f>IF('Pasted_Exports'!CA20&lt;&gt;"",'Pasted_Exports'!CA20,'File_Intake'!CA20)</f>
        <v/>
      </c>
      <c r="CS20" s="58">
        <f>IF('Pasted_Exports'!CB20&lt;&gt;"",'Pasted_Exports'!CB20,'File_Intake'!CB20)</f>
        <v/>
      </c>
      <c r="CT20" s="59">
        <f>IF('Pasted_Exports'!CC20&lt;&gt;"",'Pasted_Exports'!CC20,'File_Intake'!CC20)</f>
        <v/>
      </c>
      <c r="CU20">
        <f>IF('Pasted_Exports'!CD20&lt;&gt;"",'Pasted_Exports'!CD20,'File_Intake'!CD20)</f>
        <v/>
      </c>
      <c r="CV20">
        <f>IF('Pasted_Exports'!CE20&lt;&gt;"",'Pasted_Exports'!CE20,'File_Intake'!CE20)</f>
        <v/>
      </c>
      <c r="CW20" s="60">
        <f>IF('Pasted_Exports'!CF20&lt;&gt;"",'Pasted_Exports'!CF20,'File_Intake'!CF20)</f>
        <v/>
      </c>
      <c r="CX20" s="60">
        <f>IF('Pasted_Exports'!CG20&lt;&gt;"",'Pasted_Exports'!CG20,'File_Intake'!CG20)</f>
        <v/>
      </c>
      <c r="CY20">
        <f>IF('Pasted_Exports'!CH20&lt;&gt;"",'Pasted_Exports'!CH20,'File_Intake'!CH20)</f>
        <v/>
      </c>
    </row>
    <row r="21">
      <c r="A21" s="24">
        <f>IF('Pasted_Exports'!A21&lt;&gt;"",'Pasted_Exports'!A21,'File_Intake'!A21)</f>
        <v/>
      </c>
      <c r="B21" s="24">
        <f>IF('Pasted_Exports'!B21&lt;&gt;"",'Pasted_Exports'!B21,'File_Intake'!B21)</f>
        <v/>
      </c>
      <c r="C21" s="24">
        <f>IF('Pasted_Exports'!C21&lt;&gt;"",'Pasted_Exports'!C21,'File_Intake'!C21)</f>
        <v/>
      </c>
      <c r="D21" s="24">
        <f>IF('Pasted_Exports'!D21&lt;&gt;"",'Pasted_Exports'!D21,'File_Intake'!D21)</f>
        <v/>
      </c>
      <c r="E21" s="55">
        <f>IF('Pasted_Exports'!E21&lt;&gt;"",'Pasted_Exports'!E21,'File_Intake'!E21)</f>
        <v/>
      </c>
      <c r="F21" s="26">
        <f>IF('Pasted_Exports'!F21&lt;&gt;"",'Pasted_Exports'!F21,'File_Intake'!F21)</f>
        <v/>
      </c>
      <c r="G21" s="26">
        <f>IF('Pasted_Exports'!G21&lt;&gt;"",'Pasted_Exports'!G21,'File_Intake'!G21)</f>
        <v/>
      </c>
      <c r="H21" s="47">
        <f>IF('Pasted_Exports'!H21&lt;&gt;"",'Pasted_Exports'!H21,'File_Intake'!H21)</f>
        <v/>
      </c>
      <c r="I21" s="26">
        <f>IF('Pasted_Exports'!I21&lt;&gt;"",'Pasted_Exports'!I21,'File_Intake'!I21)</f>
        <v/>
      </c>
      <c r="J21" s="26">
        <f>IF('Pasted_Exports'!J21&lt;&gt;"",'Pasted_Exports'!J21,'File_Intake'!J21)</f>
        <v/>
      </c>
      <c r="K21" s="47">
        <f>IF('Pasted_Exports'!K21&lt;&gt;"",'Pasted_Exports'!K21,'File_Intake'!K21)</f>
        <v/>
      </c>
      <c r="L21" s="47">
        <f>IF('Pasted_Exports'!L21&lt;&gt;"",'Pasted_Exports'!L21,'File_Intake'!L21)</f>
        <v/>
      </c>
      <c r="M21" s="47">
        <f>IF('Pasted_Exports'!M21&lt;&gt;"",'Pasted_Exports'!M21,'File_Intake'!M21)</f>
        <v/>
      </c>
      <c r="N21" s="47">
        <f>IF('Pasted_Exports'!N21&lt;&gt;"",'Pasted_Exports'!N21,'File_Intake'!N21)</f>
        <v/>
      </c>
      <c r="O21" s="47">
        <f>IF('Pasted_Exports'!O21&lt;&gt;"",'Pasted_Exports'!O21,'File_Intake'!O21)</f>
        <v/>
      </c>
      <c r="P21" s="27">
        <f>IF('Pasted_Exports'!P21&lt;&gt;"",'Pasted_Exports'!P21,'File_Intake'!P21)</f>
        <v/>
      </c>
      <c r="Q21" s="27">
        <f>IF('Pasted_Exports'!Q21&lt;&gt;"",'Pasted_Exports'!Q21,'File_Intake'!Q21)</f>
        <v/>
      </c>
      <c r="R21" s="27">
        <f>IF('Pasted_Exports'!R21&lt;&gt;"",'Pasted_Exports'!R21,'File_Intake'!R21)</f>
        <v/>
      </c>
      <c r="S21" s="56">
        <f>IF('Pasted_Exports'!S21&lt;&gt;"",'Pasted_Exports'!S21,'File_Intake'!S21)</f>
        <v/>
      </c>
      <c r="T21" s="56">
        <f>IF('Pasted_Exports'!T21&lt;&gt;"",'Pasted_Exports'!T21,'File_Intake'!T21)</f>
        <v/>
      </c>
      <c r="U21" s="56">
        <f>IF('Pasted_Exports'!U21&lt;&gt;"",'Pasted_Exports'!U21,'File_Intake'!U21)</f>
        <v/>
      </c>
      <c r="V21" s="56">
        <f>IF('Pasted_Exports'!V21&lt;&gt;"",'Pasted_Exports'!V21,'File_Intake'!V21)</f>
        <v/>
      </c>
      <c r="W21" s="56">
        <f>IF('Pasted_Exports'!W21&lt;&gt;"",'Pasted_Exports'!W21,'File_Intake'!W21)</f>
        <v/>
      </c>
      <c r="X21" s="56">
        <f>IF('Pasted_Exports'!X21&lt;&gt;"",'Pasted_Exports'!X21,'File_Intake'!X21)</f>
        <v/>
      </c>
      <c r="Y21" s="56">
        <f>IF('Pasted_Exports'!Y21&lt;&gt;"",'Pasted_Exports'!Y21,'File_Intake'!Y21)</f>
        <v/>
      </c>
      <c r="Z21" s="56">
        <f>IF('Pasted_Exports'!Z21&lt;&gt;"",'Pasted_Exports'!Z21,'File_Intake'!Z21)</f>
        <v/>
      </c>
      <c r="AA21" s="56">
        <f>IF('Pasted_Exports'!AA21&lt;&gt;"",'Pasted_Exports'!AA21,'File_Intake'!AA21)</f>
        <v/>
      </c>
      <c r="AB21" s="56">
        <f>IF('Pasted_Exports'!AB21&lt;&gt;"",'Pasted_Exports'!AB21,'File_Intake'!AB21)</f>
        <v/>
      </c>
      <c r="AC21" s="56">
        <f>IF('Pasted_Exports'!AC21&lt;&gt;"",'Pasted_Exports'!AC21,'File_Intake'!AC21)</f>
        <v/>
      </c>
      <c r="AD21" s="56">
        <f>IF('Pasted_Exports'!AD21&lt;&gt;"",'Pasted_Exports'!AD21,'File_Intake'!AD21)</f>
        <v/>
      </c>
      <c r="AE21" s="56">
        <f>IF('Pasted_Exports'!AE21&lt;&gt;"",'Pasted_Exports'!AE21,'File_Intake'!AE21)</f>
        <v/>
      </c>
      <c r="AF21" s="56">
        <f>IF('Pasted_Exports'!AF21&lt;&gt;"",'Pasted_Exports'!AF21,'File_Intake'!AF21)</f>
        <v/>
      </c>
      <c r="AG21" s="56">
        <f>IF('Pasted_Exports'!AG21&lt;&gt;"",'Pasted_Exports'!AG21,'File_Intake'!AG21)</f>
        <v/>
      </c>
      <c r="AH21" s="27">
        <f>IF('Pasted_Exports'!AH21&lt;&gt;"",'Pasted_Exports'!AH21,'File_Intake'!AH21)</f>
        <v/>
      </c>
      <c r="AI21" s="27">
        <f>IF('Pasted_Exports'!AI21&lt;&gt;"",'Pasted_Exports'!AI21,'File_Intake'!AI21)</f>
        <v/>
      </c>
      <c r="AJ21" s="27">
        <f>IF('Pasted_Exports'!AJ21&lt;&gt;"",'Pasted_Exports'!AJ21,'File_Intake'!AJ21)</f>
        <v/>
      </c>
      <c r="AK21" s="27">
        <f>IF('Pasted_Exports'!AK21&lt;&gt;"",'Pasted_Exports'!AK21,'File_Intake'!AK21)</f>
        <v/>
      </c>
      <c r="AL21" s="27">
        <f>IF('Pasted_Exports'!AL21&lt;&gt;"",'Pasted_Exports'!AL21,'File_Intake'!AL21)</f>
        <v/>
      </c>
      <c r="AM21" s="27">
        <f>IF('Pasted_Exports'!AM21&lt;&gt;"",'Pasted_Exports'!AM21,'File_Intake'!AM21)</f>
        <v/>
      </c>
      <c r="AN21" s="27">
        <f>IF('Pasted_Exports'!AN21&lt;&gt;"",'Pasted_Exports'!AN21,'File_Intake'!AN21)</f>
        <v/>
      </c>
      <c r="AO21" s="27">
        <f>IF('Pasted_Exports'!AO21&lt;&gt;"",'Pasted_Exports'!AO21,'File_Intake'!AO21)</f>
        <v/>
      </c>
      <c r="AP21" s="27">
        <f>IF('Pasted_Exports'!AP21&lt;&gt;"",'Pasted_Exports'!AP21,'File_Intake'!AP21)</f>
        <v/>
      </c>
      <c r="AQ21" s="27">
        <f>IF('Pasted_Exports'!AQ21&lt;&gt;"",'Pasted_Exports'!AQ21,'File_Intake'!AQ21)</f>
        <v/>
      </c>
      <c r="AR21" s="27">
        <f>IF('Pasted_Exports'!AR21&lt;&gt;"",'Pasted_Exports'!AR21,'File_Intake'!AR21)</f>
        <v/>
      </c>
      <c r="AS21" s="27">
        <f>IF('Pasted_Exports'!AS21&lt;&gt;"",'Pasted_Exports'!AS21,'File_Intake'!AS21)</f>
        <v/>
      </c>
      <c r="AT21" s="47">
        <f>IF('Pasted_Exports'!AT21&lt;&gt;"",'Pasted_Exports'!AT21,'File_Intake'!AT21)</f>
        <v/>
      </c>
      <c r="AU21" s="47">
        <f>IF('Pasted_Exports'!AU21&lt;&gt;"",'Pasted_Exports'!AU21,'File_Intake'!AU21)</f>
        <v/>
      </c>
      <c r="AV21" s="47">
        <f>IF('Pasted_Exports'!AV21&lt;&gt;"",'Pasted_Exports'!AV21,'File_Intake'!AV21)</f>
        <v/>
      </c>
      <c r="AW21" s="56">
        <f>IF('Pasted_Exports'!AW21&lt;&gt;"",'Pasted_Exports'!AW21,'File_Intake'!AW21)</f>
        <v/>
      </c>
      <c r="AX21" s="56">
        <f>IF('Pasted_Exports'!AX21&lt;&gt;"",'Pasted_Exports'!AX21,'File_Intake'!AX21)</f>
        <v/>
      </c>
      <c r="AY21" s="56">
        <f>IF('Pasted_Exports'!AY21&lt;&gt;"",'Pasted_Exports'!AY21,'File_Intake'!AY21)</f>
        <v/>
      </c>
      <c r="AZ21" s="47">
        <f>IF('Pasted_Exports'!AZ21&lt;&gt;"",'Pasted_Exports'!AZ21,'File_Intake'!AZ21)</f>
        <v/>
      </c>
      <c r="BA21" s="47">
        <f>IF('Pasted_Exports'!BA21&lt;&gt;"",'Pasted_Exports'!BA21,'File_Intake'!BA21)</f>
        <v/>
      </c>
      <c r="BB21" s="47">
        <f>IF('Pasted_Exports'!BB21&lt;&gt;"",'Pasted_Exports'!BB21,'File_Intake'!BB21)</f>
        <v/>
      </c>
      <c r="BC21" s="27">
        <f>IF('Pasted_Exports'!BC21&lt;&gt;"",'Pasted_Exports'!BC21,'File_Intake'!BC21)</f>
        <v/>
      </c>
      <c r="BD21" s="27">
        <f>IF('Pasted_Exports'!BD21&lt;&gt;"",'Pasted_Exports'!BD21,'File_Intake'!BD21)</f>
        <v/>
      </c>
      <c r="BE21" s="27">
        <f>IF('Pasted_Exports'!BE21&lt;&gt;"",'Pasted_Exports'!BE21,'File_Intake'!BE21)</f>
        <v/>
      </c>
      <c r="BF21" s="47">
        <f>IF('Pasted_Exports'!BF21&lt;&gt;"",'Pasted_Exports'!BF21,'File_Intake'!BF21)</f>
        <v/>
      </c>
      <c r="BG21" s="47">
        <f>IF('Pasted_Exports'!BG21&lt;&gt;"",'Pasted_Exports'!BG21,'File_Intake'!BG21)</f>
        <v/>
      </c>
      <c r="BH21" s="47">
        <f>IF('Pasted_Exports'!BH21&lt;&gt;"",'Pasted_Exports'!BH21,'File_Intake'!BH21)</f>
        <v/>
      </c>
      <c r="BI21" s="47">
        <f>IF('Pasted_Exports'!BI21&lt;&gt;"",'Pasted_Exports'!BI21,'File_Intake'!BI21)</f>
        <v/>
      </c>
      <c r="BJ21" s="47">
        <f>IF('Pasted_Exports'!BJ21&lt;&gt;"",'Pasted_Exports'!BJ21,'File_Intake'!BJ21)</f>
        <v/>
      </c>
      <c r="BK21" s="47">
        <f>IF('Pasted_Exports'!BK21&lt;&gt;"",'Pasted_Exports'!BK21,'File_Intake'!BK21)</f>
        <v/>
      </c>
      <c r="BL21" s="47">
        <f>IF('Pasted_Exports'!BL21&lt;&gt;"",'Pasted_Exports'!BL21,'File_Intake'!BL21)</f>
        <v/>
      </c>
      <c r="BM21" s="47">
        <f>IF('Pasted_Exports'!BM21&lt;&gt;"",'Pasted_Exports'!BM21,'File_Intake'!BM21)</f>
        <v/>
      </c>
      <c r="BN21" s="47">
        <f>IF('Pasted_Exports'!BN21&lt;&gt;"",'Pasted_Exports'!BN21,'File_Intake'!BN21)</f>
        <v/>
      </c>
      <c r="BO21" s="47">
        <f>IF('Pasted_Exports'!BO21&lt;&gt;"",'Pasted_Exports'!BO21,'File_Intake'!BO21)</f>
        <v/>
      </c>
      <c r="BP21" s="47">
        <f>IF('Pasted_Exports'!BP21&lt;&gt;"",'Pasted_Exports'!BP21,'File_Intake'!BP21)</f>
        <v/>
      </c>
      <c r="BQ21" s="47">
        <f>IF('Pasted_Exports'!BQ21&lt;&gt;"",'Pasted_Exports'!BQ21,'File_Intake'!BQ21)</f>
        <v/>
      </c>
      <c r="BR21" s="47">
        <f>IF('Pasted_Exports'!BR21&lt;&gt;"",'Pasted_Exports'!BR21,'File_Intake'!BR21)</f>
        <v/>
      </c>
      <c r="BS21" s="47">
        <f>IF('Pasted_Exports'!BS21&lt;&gt;"",'Pasted_Exports'!BS21,'File_Intake'!BS21)</f>
        <v/>
      </c>
      <c r="BT21" s="47">
        <f>IF('Pasted_Exports'!BT21&lt;&gt;"",'Pasted_Exports'!BT21,'File_Intake'!BT21)</f>
        <v/>
      </c>
      <c r="BU21" s="47">
        <f>IF('Pasted_Exports'!BU21&lt;&gt;"",'Pasted_Exports'!BU21,'File_Intake'!BU21)</f>
        <v/>
      </c>
      <c r="BV21" s="47">
        <f>IF('Pasted_Exports'!BV21&lt;&gt;"",'Pasted_Exports'!BV21,'File_Intake'!BV21)</f>
        <v/>
      </c>
      <c r="BW21" s="47">
        <f>IF('Pasted_Exports'!BW21&lt;&gt;"",'Pasted_Exports'!BW21,'File_Intake'!BW21)</f>
        <v/>
      </c>
      <c r="BX21" s="29">
        <f>IF(AND($A21&lt;&gt;"",$B21&lt;&gt;"",$K21&gt;='Study_Setup'!$B$14,$L21&gt;='Study_Setup'!$B$15),1,0)</f>
        <v/>
      </c>
      <c r="BY21" s="30">
        <f>IF($A21="","",TEXTJOIN("; ",TRUE,IF($B21="","Missing arm",""),IF($K21&lt;'Study_Setup'!$B$14,"Low off-days",""),IF($L21&lt;'Study_Setup'!$B$15,"Low on-days",""),IF($AM21&gt;'Study_Setup'!$B$19,"Hypo burden increased","")))</f>
        <v/>
      </c>
      <c r="BZ21" s="61">
        <f>IFERROR($M21-$N21,"")</f>
        <v/>
      </c>
      <c r="CA21" s="62">
        <f>IFERROR(($M21-$N21)/$M21,"")</f>
        <v/>
      </c>
      <c r="CB21" s="33">
        <f>IFERROR($P21-$Q21,"")</f>
        <v/>
      </c>
      <c r="CC21" s="63">
        <f>IFERROR($T21-$S21,"")</f>
        <v/>
      </c>
      <c r="CD21" s="33">
        <f>IFERROR($AH21-$AI21,"")</f>
        <v/>
      </c>
      <c r="CE21" s="62">
        <f>IFERROR(($AH21-$AI21)/$AH21,"")</f>
        <v/>
      </c>
      <c r="CF21" s="33">
        <f>IFERROR($AQ21-$AR21,"")</f>
        <v/>
      </c>
      <c r="CG21" s="61">
        <f>IFERROR($BO21-$BP21,"")</f>
        <v/>
      </c>
      <c r="CH21" s="61">
        <f>IFERROR($BI21-$BJ21,"")</f>
        <v/>
      </c>
      <c r="CI21" s="61">
        <f>IFERROR($BL21-$BM21,"")</f>
        <v/>
      </c>
      <c r="CJ21" s="61">
        <f>IFERROR($BF21-$BG21,"")</f>
        <v/>
      </c>
      <c r="CK21" s="33">
        <f>IFERROR($BC21-$BD21,"")</f>
        <v/>
      </c>
      <c r="CL21" s="29">
        <f>IF($A21="","",IF($AM21&lt;='Study_Setup'!$B$19,1,0))</f>
        <v/>
      </c>
      <c r="CM21" s="29">
        <f>IF($A21="","",IF(AND($BZ21&gt;='Study_Setup'!$B$16,$CC21&gt;='Study_Setup'!$B$17,$CE21&gt;='Study_Setup'!$B$18,$CL21=1),1,0))</f>
        <v/>
      </c>
      <c r="CN21" s="61">
        <f>IFERROR(40*MIN(1,$BZ21/'Study_Setup'!$B$16)+25*MIN(1,$CC21/'Study_Setup'!$B$17)+25*MIN(1,$CE21/'Study_Setup'!$B$18)+10*$CL21,"")</f>
        <v/>
      </c>
      <c r="CO21">
        <f>IF('Pasted_Exports'!BX21&lt;&gt;"",'Pasted_Exports'!BX21,'File_Intake'!BX21)</f>
        <v/>
      </c>
      <c r="CP21" s="57">
        <f>IF('Pasted_Exports'!BY21&lt;&gt;"",'Pasted_Exports'!BY21,'File_Intake'!BY21)</f>
        <v/>
      </c>
      <c r="CQ21" s="57">
        <f>IF('Pasted_Exports'!BZ21&lt;&gt;"",'Pasted_Exports'!BZ21,'File_Intake'!BZ21)</f>
        <v/>
      </c>
      <c r="CR21" s="57">
        <f>IF('Pasted_Exports'!CA21&lt;&gt;"",'Pasted_Exports'!CA21,'File_Intake'!CA21)</f>
        <v/>
      </c>
      <c r="CS21" s="58">
        <f>IF('Pasted_Exports'!CB21&lt;&gt;"",'Pasted_Exports'!CB21,'File_Intake'!CB21)</f>
        <v/>
      </c>
      <c r="CT21" s="59">
        <f>IF('Pasted_Exports'!CC21&lt;&gt;"",'Pasted_Exports'!CC21,'File_Intake'!CC21)</f>
        <v/>
      </c>
      <c r="CU21">
        <f>IF('Pasted_Exports'!CD21&lt;&gt;"",'Pasted_Exports'!CD21,'File_Intake'!CD21)</f>
        <v/>
      </c>
      <c r="CV21">
        <f>IF('Pasted_Exports'!CE21&lt;&gt;"",'Pasted_Exports'!CE21,'File_Intake'!CE21)</f>
        <v/>
      </c>
      <c r="CW21" s="60">
        <f>IF('Pasted_Exports'!CF21&lt;&gt;"",'Pasted_Exports'!CF21,'File_Intake'!CF21)</f>
        <v/>
      </c>
      <c r="CX21" s="60">
        <f>IF('Pasted_Exports'!CG21&lt;&gt;"",'Pasted_Exports'!CG21,'File_Intake'!CG21)</f>
        <v/>
      </c>
      <c r="CY21">
        <f>IF('Pasted_Exports'!CH21&lt;&gt;"",'Pasted_Exports'!CH21,'File_Intake'!CH21)</f>
        <v/>
      </c>
    </row>
    <row r="22">
      <c r="A22" s="24">
        <f>IF('Pasted_Exports'!A22&lt;&gt;"",'Pasted_Exports'!A22,'File_Intake'!A22)</f>
        <v/>
      </c>
      <c r="B22" s="24">
        <f>IF('Pasted_Exports'!B22&lt;&gt;"",'Pasted_Exports'!B22,'File_Intake'!B22)</f>
        <v/>
      </c>
      <c r="C22" s="24">
        <f>IF('Pasted_Exports'!C22&lt;&gt;"",'Pasted_Exports'!C22,'File_Intake'!C22)</f>
        <v/>
      </c>
      <c r="D22" s="24">
        <f>IF('Pasted_Exports'!D22&lt;&gt;"",'Pasted_Exports'!D22,'File_Intake'!D22)</f>
        <v/>
      </c>
      <c r="E22" s="55">
        <f>IF('Pasted_Exports'!E22&lt;&gt;"",'Pasted_Exports'!E22,'File_Intake'!E22)</f>
        <v/>
      </c>
      <c r="F22" s="26">
        <f>IF('Pasted_Exports'!F22&lt;&gt;"",'Pasted_Exports'!F22,'File_Intake'!F22)</f>
        <v/>
      </c>
      <c r="G22" s="26">
        <f>IF('Pasted_Exports'!G22&lt;&gt;"",'Pasted_Exports'!G22,'File_Intake'!G22)</f>
        <v/>
      </c>
      <c r="H22" s="47">
        <f>IF('Pasted_Exports'!H22&lt;&gt;"",'Pasted_Exports'!H22,'File_Intake'!H22)</f>
        <v/>
      </c>
      <c r="I22" s="26">
        <f>IF('Pasted_Exports'!I22&lt;&gt;"",'Pasted_Exports'!I22,'File_Intake'!I22)</f>
        <v/>
      </c>
      <c r="J22" s="26">
        <f>IF('Pasted_Exports'!J22&lt;&gt;"",'Pasted_Exports'!J22,'File_Intake'!J22)</f>
        <v/>
      </c>
      <c r="K22" s="47">
        <f>IF('Pasted_Exports'!K22&lt;&gt;"",'Pasted_Exports'!K22,'File_Intake'!K22)</f>
        <v/>
      </c>
      <c r="L22" s="47">
        <f>IF('Pasted_Exports'!L22&lt;&gt;"",'Pasted_Exports'!L22,'File_Intake'!L22)</f>
        <v/>
      </c>
      <c r="M22" s="47">
        <f>IF('Pasted_Exports'!M22&lt;&gt;"",'Pasted_Exports'!M22,'File_Intake'!M22)</f>
        <v/>
      </c>
      <c r="N22" s="47">
        <f>IF('Pasted_Exports'!N22&lt;&gt;"",'Pasted_Exports'!N22,'File_Intake'!N22)</f>
        <v/>
      </c>
      <c r="O22" s="47">
        <f>IF('Pasted_Exports'!O22&lt;&gt;"",'Pasted_Exports'!O22,'File_Intake'!O22)</f>
        <v/>
      </c>
      <c r="P22" s="27">
        <f>IF('Pasted_Exports'!P22&lt;&gt;"",'Pasted_Exports'!P22,'File_Intake'!P22)</f>
        <v/>
      </c>
      <c r="Q22" s="27">
        <f>IF('Pasted_Exports'!Q22&lt;&gt;"",'Pasted_Exports'!Q22,'File_Intake'!Q22)</f>
        <v/>
      </c>
      <c r="R22" s="27">
        <f>IF('Pasted_Exports'!R22&lt;&gt;"",'Pasted_Exports'!R22,'File_Intake'!R22)</f>
        <v/>
      </c>
      <c r="S22" s="56">
        <f>IF('Pasted_Exports'!S22&lt;&gt;"",'Pasted_Exports'!S22,'File_Intake'!S22)</f>
        <v/>
      </c>
      <c r="T22" s="56">
        <f>IF('Pasted_Exports'!T22&lt;&gt;"",'Pasted_Exports'!T22,'File_Intake'!T22)</f>
        <v/>
      </c>
      <c r="U22" s="56">
        <f>IF('Pasted_Exports'!U22&lt;&gt;"",'Pasted_Exports'!U22,'File_Intake'!U22)</f>
        <v/>
      </c>
      <c r="V22" s="56">
        <f>IF('Pasted_Exports'!V22&lt;&gt;"",'Pasted_Exports'!V22,'File_Intake'!V22)</f>
        <v/>
      </c>
      <c r="W22" s="56">
        <f>IF('Pasted_Exports'!W22&lt;&gt;"",'Pasted_Exports'!W22,'File_Intake'!W22)</f>
        <v/>
      </c>
      <c r="X22" s="56">
        <f>IF('Pasted_Exports'!X22&lt;&gt;"",'Pasted_Exports'!X22,'File_Intake'!X22)</f>
        <v/>
      </c>
      <c r="Y22" s="56">
        <f>IF('Pasted_Exports'!Y22&lt;&gt;"",'Pasted_Exports'!Y22,'File_Intake'!Y22)</f>
        <v/>
      </c>
      <c r="Z22" s="56">
        <f>IF('Pasted_Exports'!Z22&lt;&gt;"",'Pasted_Exports'!Z22,'File_Intake'!Z22)</f>
        <v/>
      </c>
      <c r="AA22" s="56">
        <f>IF('Pasted_Exports'!AA22&lt;&gt;"",'Pasted_Exports'!AA22,'File_Intake'!AA22)</f>
        <v/>
      </c>
      <c r="AB22" s="56">
        <f>IF('Pasted_Exports'!AB22&lt;&gt;"",'Pasted_Exports'!AB22,'File_Intake'!AB22)</f>
        <v/>
      </c>
      <c r="AC22" s="56">
        <f>IF('Pasted_Exports'!AC22&lt;&gt;"",'Pasted_Exports'!AC22,'File_Intake'!AC22)</f>
        <v/>
      </c>
      <c r="AD22" s="56">
        <f>IF('Pasted_Exports'!AD22&lt;&gt;"",'Pasted_Exports'!AD22,'File_Intake'!AD22)</f>
        <v/>
      </c>
      <c r="AE22" s="56">
        <f>IF('Pasted_Exports'!AE22&lt;&gt;"",'Pasted_Exports'!AE22,'File_Intake'!AE22)</f>
        <v/>
      </c>
      <c r="AF22" s="56">
        <f>IF('Pasted_Exports'!AF22&lt;&gt;"",'Pasted_Exports'!AF22,'File_Intake'!AF22)</f>
        <v/>
      </c>
      <c r="AG22" s="56">
        <f>IF('Pasted_Exports'!AG22&lt;&gt;"",'Pasted_Exports'!AG22,'File_Intake'!AG22)</f>
        <v/>
      </c>
      <c r="AH22" s="27">
        <f>IF('Pasted_Exports'!AH22&lt;&gt;"",'Pasted_Exports'!AH22,'File_Intake'!AH22)</f>
        <v/>
      </c>
      <c r="AI22" s="27">
        <f>IF('Pasted_Exports'!AI22&lt;&gt;"",'Pasted_Exports'!AI22,'File_Intake'!AI22)</f>
        <v/>
      </c>
      <c r="AJ22" s="27">
        <f>IF('Pasted_Exports'!AJ22&lt;&gt;"",'Pasted_Exports'!AJ22,'File_Intake'!AJ22)</f>
        <v/>
      </c>
      <c r="AK22" s="27">
        <f>IF('Pasted_Exports'!AK22&lt;&gt;"",'Pasted_Exports'!AK22,'File_Intake'!AK22)</f>
        <v/>
      </c>
      <c r="AL22" s="27">
        <f>IF('Pasted_Exports'!AL22&lt;&gt;"",'Pasted_Exports'!AL22,'File_Intake'!AL22)</f>
        <v/>
      </c>
      <c r="AM22" s="27">
        <f>IF('Pasted_Exports'!AM22&lt;&gt;"",'Pasted_Exports'!AM22,'File_Intake'!AM22)</f>
        <v/>
      </c>
      <c r="AN22" s="27">
        <f>IF('Pasted_Exports'!AN22&lt;&gt;"",'Pasted_Exports'!AN22,'File_Intake'!AN22)</f>
        <v/>
      </c>
      <c r="AO22" s="27">
        <f>IF('Pasted_Exports'!AO22&lt;&gt;"",'Pasted_Exports'!AO22,'File_Intake'!AO22)</f>
        <v/>
      </c>
      <c r="AP22" s="27">
        <f>IF('Pasted_Exports'!AP22&lt;&gt;"",'Pasted_Exports'!AP22,'File_Intake'!AP22)</f>
        <v/>
      </c>
      <c r="AQ22" s="27">
        <f>IF('Pasted_Exports'!AQ22&lt;&gt;"",'Pasted_Exports'!AQ22,'File_Intake'!AQ22)</f>
        <v/>
      </c>
      <c r="AR22" s="27">
        <f>IF('Pasted_Exports'!AR22&lt;&gt;"",'Pasted_Exports'!AR22,'File_Intake'!AR22)</f>
        <v/>
      </c>
      <c r="AS22" s="27">
        <f>IF('Pasted_Exports'!AS22&lt;&gt;"",'Pasted_Exports'!AS22,'File_Intake'!AS22)</f>
        <v/>
      </c>
      <c r="AT22" s="47">
        <f>IF('Pasted_Exports'!AT22&lt;&gt;"",'Pasted_Exports'!AT22,'File_Intake'!AT22)</f>
        <v/>
      </c>
      <c r="AU22" s="47">
        <f>IF('Pasted_Exports'!AU22&lt;&gt;"",'Pasted_Exports'!AU22,'File_Intake'!AU22)</f>
        <v/>
      </c>
      <c r="AV22" s="47">
        <f>IF('Pasted_Exports'!AV22&lt;&gt;"",'Pasted_Exports'!AV22,'File_Intake'!AV22)</f>
        <v/>
      </c>
      <c r="AW22" s="56">
        <f>IF('Pasted_Exports'!AW22&lt;&gt;"",'Pasted_Exports'!AW22,'File_Intake'!AW22)</f>
        <v/>
      </c>
      <c r="AX22" s="56">
        <f>IF('Pasted_Exports'!AX22&lt;&gt;"",'Pasted_Exports'!AX22,'File_Intake'!AX22)</f>
        <v/>
      </c>
      <c r="AY22" s="56">
        <f>IF('Pasted_Exports'!AY22&lt;&gt;"",'Pasted_Exports'!AY22,'File_Intake'!AY22)</f>
        <v/>
      </c>
      <c r="AZ22" s="47">
        <f>IF('Pasted_Exports'!AZ22&lt;&gt;"",'Pasted_Exports'!AZ22,'File_Intake'!AZ22)</f>
        <v/>
      </c>
      <c r="BA22" s="47">
        <f>IF('Pasted_Exports'!BA22&lt;&gt;"",'Pasted_Exports'!BA22,'File_Intake'!BA22)</f>
        <v/>
      </c>
      <c r="BB22" s="47">
        <f>IF('Pasted_Exports'!BB22&lt;&gt;"",'Pasted_Exports'!BB22,'File_Intake'!BB22)</f>
        <v/>
      </c>
      <c r="BC22" s="27">
        <f>IF('Pasted_Exports'!BC22&lt;&gt;"",'Pasted_Exports'!BC22,'File_Intake'!BC22)</f>
        <v/>
      </c>
      <c r="BD22" s="27">
        <f>IF('Pasted_Exports'!BD22&lt;&gt;"",'Pasted_Exports'!BD22,'File_Intake'!BD22)</f>
        <v/>
      </c>
      <c r="BE22" s="27">
        <f>IF('Pasted_Exports'!BE22&lt;&gt;"",'Pasted_Exports'!BE22,'File_Intake'!BE22)</f>
        <v/>
      </c>
      <c r="BF22" s="47">
        <f>IF('Pasted_Exports'!BF22&lt;&gt;"",'Pasted_Exports'!BF22,'File_Intake'!BF22)</f>
        <v/>
      </c>
      <c r="BG22" s="47">
        <f>IF('Pasted_Exports'!BG22&lt;&gt;"",'Pasted_Exports'!BG22,'File_Intake'!BG22)</f>
        <v/>
      </c>
      <c r="BH22" s="47">
        <f>IF('Pasted_Exports'!BH22&lt;&gt;"",'Pasted_Exports'!BH22,'File_Intake'!BH22)</f>
        <v/>
      </c>
      <c r="BI22" s="47">
        <f>IF('Pasted_Exports'!BI22&lt;&gt;"",'Pasted_Exports'!BI22,'File_Intake'!BI22)</f>
        <v/>
      </c>
      <c r="BJ22" s="47">
        <f>IF('Pasted_Exports'!BJ22&lt;&gt;"",'Pasted_Exports'!BJ22,'File_Intake'!BJ22)</f>
        <v/>
      </c>
      <c r="BK22" s="47">
        <f>IF('Pasted_Exports'!BK22&lt;&gt;"",'Pasted_Exports'!BK22,'File_Intake'!BK22)</f>
        <v/>
      </c>
      <c r="BL22" s="47">
        <f>IF('Pasted_Exports'!BL22&lt;&gt;"",'Pasted_Exports'!BL22,'File_Intake'!BL22)</f>
        <v/>
      </c>
      <c r="BM22" s="47">
        <f>IF('Pasted_Exports'!BM22&lt;&gt;"",'Pasted_Exports'!BM22,'File_Intake'!BM22)</f>
        <v/>
      </c>
      <c r="BN22" s="47">
        <f>IF('Pasted_Exports'!BN22&lt;&gt;"",'Pasted_Exports'!BN22,'File_Intake'!BN22)</f>
        <v/>
      </c>
      <c r="BO22" s="47">
        <f>IF('Pasted_Exports'!BO22&lt;&gt;"",'Pasted_Exports'!BO22,'File_Intake'!BO22)</f>
        <v/>
      </c>
      <c r="BP22" s="47">
        <f>IF('Pasted_Exports'!BP22&lt;&gt;"",'Pasted_Exports'!BP22,'File_Intake'!BP22)</f>
        <v/>
      </c>
      <c r="BQ22" s="47">
        <f>IF('Pasted_Exports'!BQ22&lt;&gt;"",'Pasted_Exports'!BQ22,'File_Intake'!BQ22)</f>
        <v/>
      </c>
      <c r="BR22" s="47">
        <f>IF('Pasted_Exports'!BR22&lt;&gt;"",'Pasted_Exports'!BR22,'File_Intake'!BR22)</f>
        <v/>
      </c>
      <c r="BS22" s="47">
        <f>IF('Pasted_Exports'!BS22&lt;&gt;"",'Pasted_Exports'!BS22,'File_Intake'!BS22)</f>
        <v/>
      </c>
      <c r="BT22" s="47">
        <f>IF('Pasted_Exports'!BT22&lt;&gt;"",'Pasted_Exports'!BT22,'File_Intake'!BT22)</f>
        <v/>
      </c>
      <c r="BU22" s="47">
        <f>IF('Pasted_Exports'!BU22&lt;&gt;"",'Pasted_Exports'!BU22,'File_Intake'!BU22)</f>
        <v/>
      </c>
      <c r="BV22" s="47">
        <f>IF('Pasted_Exports'!BV22&lt;&gt;"",'Pasted_Exports'!BV22,'File_Intake'!BV22)</f>
        <v/>
      </c>
      <c r="BW22" s="47">
        <f>IF('Pasted_Exports'!BW22&lt;&gt;"",'Pasted_Exports'!BW22,'File_Intake'!BW22)</f>
        <v/>
      </c>
      <c r="BX22" s="29">
        <f>IF(AND($A22&lt;&gt;"",$B22&lt;&gt;"",$K22&gt;='Study_Setup'!$B$14,$L22&gt;='Study_Setup'!$B$15),1,0)</f>
        <v/>
      </c>
      <c r="BY22" s="30">
        <f>IF($A22="","",TEXTJOIN("; ",TRUE,IF($B22="","Missing arm",""),IF($K22&lt;'Study_Setup'!$B$14,"Low off-days",""),IF($L22&lt;'Study_Setup'!$B$15,"Low on-days",""),IF($AM22&gt;'Study_Setup'!$B$19,"Hypo burden increased","")))</f>
        <v/>
      </c>
      <c r="BZ22" s="61">
        <f>IFERROR($M22-$N22,"")</f>
        <v/>
      </c>
      <c r="CA22" s="62">
        <f>IFERROR(($M22-$N22)/$M22,"")</f>
        <v/>
      </c>
      <c r="CB22" s="33">
        <f>IFERROR($P22-$Q22,"")</f>
        <v/>
      </c>
      <c r="CC22" s="63">
        <f>IFERROR($T22-$S22,"")</f>
        <v/>
      </c>
      <c r="CD22" s="33">
        <f>IFERROR($AH22-$AI22,"")</f>
        <v/>
      </c>
      <c r="CE22" s="62">
        <f>IFERROR(($AH22-$AI22)/$AH22,"")</f>
        <v/>
      </c>
      <c r="CF22" s="33">
        <f>IFERROR($AQ22-$AR22,"")</f>
        <v/>
      </c>
      <c r="CG22" s="61">
        <f>IFERROR($BO22-$BP22,"")</f>
        <v/>
      </c>
      <c r="CH22" s="61">
        <f>IFERROR($BI22-$BJ22,"")</f>
        <v/>
      </c>
      <c r="CI22" s="61">
        <f>IFERROR($BL22-$BM22,"")</f>
        <v/>
      </c>
      <c r="CJ22" s="61">
        <f>IFERROR($BF22-$BG22,"")</f>
        <v/>
      </c>
      <c r="CK22" s="33">
        <f>IFERROR($BC22-$BD22,"")</f>
        <v/>
      </c>
      <c r="CL22" s="29">
        <f>IF($A22="","",IF($AM22&lt;='Study_Setup'!$B$19,1,0))</f>
        <v/>
      </c>
      <c r="CM22" s="29">
        <f>IF($A22="","",IF(AND($BZ22&gt;='Study_Setup'!$B$16,$CC22&gt;='Study_Setup'!$B$17,$CE22&gt;='Study_Setup'!$B$18,$CL22=1),1,0))</f>
        <v/>
      </c>
      <c r="CN22" s="61">
        <f>IFERROR(40*MIN(1,$BZ22/'Study_Setup'!$B$16)+25*MIN(1,$CC22/'Study_Setup'!$B$17)+25*MIN(1,$CE22/'Study_Setup'!$B$18)+10*$CL22,"")</f>
        <v/>
      </c>
      <c r="CO22">
        <f>IF('Pasted_Exports'!BX22&lt;&gt;"",'Pasted_Exports'!BX22,'File_Intake'!BX22)</f>
        <v/>
      </c>
      <c r="CP22" s="57">
        <f>IF('Pasted_Exports'!BY22&lt;&gt;"",'Pasted_Exports'!BY22,'File_Intake'!BY22)</f>
        <v/>
      </c>
      <c r="CQ22" s="57">
        <f>IF('Pasted_Exports'!BZ22&lt;&gt;"",'Pasted_Exports'!BZ22,'File_Intake'!BZ22)</f>
        <v/>
      </c>
      <c r="CR22" s="57">
        <f>IF('Pasted_Exports'!CA22&lt;&gt;"",'Pasted_Exports'!CA22,'File_Intake'!CA22)</f>
        <v/>
      </c>
      <c r="CS22" s="58">
        <f>IF('Pasted_Exports'!CB22&lt;&gt;"",'Pasted_Exports'!CB22,'File_Intake'!CB22)</f>
        <v/>
      </c>
      <c r="CT22" s="59">
        <f>IF('Pasted_Exports'!CC22&lt;&gt;"",'Pasted_Exports'!CC22,'File_Intake'!CC22)</f>
        <v/>
      </c>
      <c r="CU22">
        <f>IF('Pasted_Exports'!CD22&lt;&gt;"",'Pasted_Exports'!CD22,'File_Intake'!CD22)</f>
        <v/>
      </c>
      <c r="CV22">
        <f>IF('Pasted_Exports'!CE22&lt;&gt;"",'Pasted_Exports'!CE22,'File_Intake'!CE22)</f>
        <v/>
      </c>
      <c r="CW22" s="60">
        <f>IF('Pasted_Exports'!CF22&lt;&gt;"",'Pasted_Exports'!CF22,'File_Intake'!CF22)</f>
        <v/>
      </c>
      <c r="CX22" s="60">
        <f>IF('Pasted_Exports'!CG22&lt;&gt;"",'Pasted_Exports'!CG22,'File_Intake'!CG22)</f>
        <v/>
      </c>
      <c r="CY22">
        <f>IF('Pasted_Exports'!CH22&lt;&gt;"",'Pasted_Exports'!CH22,'File_Intake'!CH22)</f>
        <v/>
      </c>
    </row>
    <row r="23">
      <c r="A23" s="24">
        <f>IF('Pasted_Exports'!A23&lt;&gt;"",'Pasted_Exports'!A23,'File_Intake'!A23)</f>
        <v/>
      </c>
      <c r="B23" s="24">
        <f>IF('Pasted_Exports'!B23&lt;&gt;"",'Pasted_Exports'!B23,'File_Intake'!B23)</f>
        <v/>
      </c>
      <c r="C23" s="24">
        <f>IF('Pasted_Exports'!C23&lt;&gt;"",'Pasted_Exports'!C23,'File_Intake'!C23)</f>
        <v/>
      </c>
      <c r="D23" s="24">
        <f>IF('Pasted_Exports'!D23&lt;&gt;"",'Pasted_Exports'!D23,'File_Intake'!D23)</f>
        <v/>
      </c>
      <c r="E23" s="55">
        <f>IF('Pasted_Exports'!E23&lt;&gt;"",'Pasted_Exports'!E23,'File_Intake'!E23)</f>
        <v/>
      </c>
      <c r="F23" s="26">
        <f>IF('Pasted_Exports'!F23&lt;&gt;"",'Pasted_Exports'!F23,'File_Intake'!F23)</f>
        <v/>
      </c>
      <c r="G23" s="26">
        <f>IF('Pasted_Exports'!G23&lt;&gt;"",'Pasted_Exports'!G23,'File_Intake'!G23)</f>
        <v/>
      </c>
      <c r="H23" s="47">
        <f>IF('Pasted_Exports'!H23&lt;&gt;"",'Pasted_Exports'!H23,'File_Intake'!H23)</f>
        <v/>
      </c>
      <c r="I23" s="26">
        <f>IF('Pasted_Exports'!I23&lt;&gt;"",'Pasted_Exports'!I23,'File_Intake'!I23)</f>
        <v/>
      </c>
      <c r="J23" s="26">
        <f>IF('Pasted_Exports'!J23&lt;&gt;"",'Pasted_Exports'!J23,'File_Intake'!J23)</f>
        <v/>
      </c>
      <c r="K23" s="47">
        <f>IF('Pasted_Exports'!K23&lt;&gt;"",'Pasted_Exports'!K23,'File_Intake'!K23)</f>
        <v/>
      </c>
      <c r="L23" s="47">
        <f>IF('Pasted_Exports'!L23&lt;&gt;"",'Pasted_Exports'!L23,'File_Intake'!L23)</f>
        <v/>
      </c>
      <c r="M23" s="47">
        <f>IF('Pasted_Exports'!M23&lt;&gt;"",'Pasted_Exports'!M23,'File_Intake'!M23)</f>
        <v/>
      </c>
      <c r="N23" s="47">
        <f>IF('Pasted_Exports'!N23&lt;&gt;"",'Pasted_Exports'!N23,'File_Intake'!N23)</f>
        <v/>
      </c>
      <c r="O23" s="47">
        <f>IF('Pasted_Exports'!O23&lt;&gt;"",'Pasted_Exports'!O23,'File_Intake'!O23)</f>
        <v/>
      </c>
      <c r="P23" s="27">
        <f>IF('Pasted_Exports'!P23&lt;&gt;"",'Pasted_Exports'!P23,'File_Intake'!P23)</f>
        <v/>
      </c>
      <c r="Q23" s="27">
        <f>IF('Pasted_Exports'!Q23&lt;&gt;"",'Pasted_Exports'!Q23,'File_Intake'!Q23)</f>
        <v/>
      </c>
      <c r="R23" s="27">
        <f>IF('Pasted_Exports'!R23&lt;&gt;"",'Pasted_Exports'!R23,'File_Intake'!R23)</f>
        <v/>
      </c>
      <c r="S23" s="56">
        <f>IF('Pasted_Exports'!S23&lt;&gt;"",'Pasted_Exports'!S23,'File_Intake'!S23)</f>
        <v/>
      </c>
      <c r="T23" s="56">
        <f>IF('Pasted_Exports'!T23&lt;&gt;"",'Pasted_Exports'!T23,'File_Intake'!T23)</f>
        <v/>
      </c>
      <c r="U23" s="56">
        <f>IF('Pasted_Exports'!U23&lt;&gt;"",'Pasted_Exports'!U23,'File_Intake'!U23)</f>
        <v/>
      </c>
      <c r="V23" s="56">
        <f>IF('Pasted_Exports'!V23&lt;&gt;"",'Pasted_Exports'!V23,'File_Intake'!V23)</f>
        <v/>
      </c>
      <c r="W23" s="56">
        <f>IF('Pasted_Exports'!W23&lt;&gt;"",'Pasted_Exports'!W23,'File_Intake'!W23)</f>
        <v/>
      </c>
      <c r="X23" s="56">
        <f>IF('Pasted_Exports'!X23&lt;&gt;"",'Pasted_Exports'!X23,'File_Intake'!X23)</f>
        <v/>
      </c>
      <c r="Y23" s="56">
        <f>IF('Pasted_Exports'!Y23&lt;&gt;"",'Pasted_Exports'!Y23,'File_Intake'!Y23)</f>
        <v/>
      </c>
      <c r="Z23" s="56">
        <f>IF('Pasted_Exports'!Z23&lt;&gt;"",'Pasted_Exports'!Z23,'File_Intake'!Z23)</f>
        <v/>
      </c>
      <c r="AA23" s="56">
        <f>IF('Pasted_Exports'!AA23&lt;&gt;"",'Pasted_Exports'!AA23,'File_Intake'!AA23)</f>
        <v/>
      </c>
      <c r="AB23" s="56">
        <f>IF('Pasted_Exports'!AB23&lt;&gt;"",'Pasted_Exports'!AB23,'File_Intake'!AB23)</f>
        <v/>
      </c>
      <c r="AC23" s="56">
        <f>IF('Pasted_Exports'!AC23&lt;&gt;"",'Pasted_Exports'!AC23,'File_Intake'!AC23)</f>
        <v/>
      </c>
      <c r="AD23" s="56">
        <f>IF('Pasted_Exports'!AD23&lt;&gt;"",'Pasted_Exports'!AD23,'File_Intake'!AD23)</f>
        <v/>
      </c>
      <c r="AE23" s="56">
        <f>IF('Pasted_Exports'!AE23&lt;&gt;"",'Pasted_Exports'!AE23,'File_Intake'!AE23)</f>
        <v/>
      </c>
      <c r="AF23" s="56">
        <f>IF('Pasted_Exports'!AF23&lt;&gt;"",'Pasted_Exports'!AF23,'File_Intake'!AF23)</f>
        <v/>
      </c>
      <c r="AG23" s="56">
        <f>IF('Pasted_Exports'!AG23&lt;&gt;"",'Pasted_Exports'!AG23,'File_Intake'!AG23)</f>
        <v/>
      </c>
      <c r="AH23" s="27">
        <f>IF('Pasted_Exports'!AH23&lt;&gt;"",'Pasted_Exports'!AH23,'File_Intake'!AH23)</f>
        <v/>
      </c>
      <c r="AI23" s="27">
        <f>IF('Pasted_Exports'!AI23&lt;&gt;"",'Pasted_Exports'!AI23,'File_Intake'!AI23)</f>
        <v/>
      </c>
      <c r="AJ23" s="27">
        <f>IF('Pasted_Exports'!AJ23&lt;&gt;"",'Pasted_Exports'!AJ23,'File_Intake'!AJ23)</f>
        <v/>
      </c>
      <c r="AK23" s="27">
        <f>IF('Pasted_Exports'!AK23&lt;&gt;"",'Pasted_Exports'!AK23,'File_Intake'!AK23)</f>
        <v/>
      </c>
      <c r="AL23" s="27">
        <f>IF('Pasted_Exports'!AL23&lt;&gt;"",'Pasted_Exports'!AL23,'File_Intake'!AL23)</f>
        <v/>
      </c>
      <c r="AM23" s="27">
        <f>IF('Pasted_Exports'!AM23&lt;&gt;"",'Pasted_Exports'!AM23,'File_Intake'!AM23)</f>
        <v/>
      </c>
      <c r="AN23" s="27">
        <f>IF('Pasted_Exports'!AN23&lt;&gt;"",'Pasted_Exports'!AN23,'File_Intake'!AN23)</f>
        <v/>
      </c>
      <c r="AO23" s="27">
        <f>IF('Pasted_Exports'!AO23&lt;&gt;"",'Pasted_Exports'!AO23,'File_Intake'!AO23)</f>
        <v/>
      </c>
      <c r="AP23" s="27">
        <f>IF('Pasted_Exports'!AP23&lt;&gt;"",'Pasted_Exports'!AP23,'File_Intake'!AP23)</f>
        <v/>
      </c>
      <c r="AQ23" s="27">
        <f>IF('Pasted_Exports'!AQ23&lt;&gt;"",'Pasted_Exports'!AQ23,'File_Intake'!AQ23)</f>
        <v/>
      </c>
      <c r="AR23" s="27">
        <f>IF('Pasted_Exports'!AR23&lt;&gt;"",'Pasted_Exports'!AR23,'File_Intake'!AR23)</f>
        <v/>
      </c>
      <c r="AS23" s="27">
        <f>IF('Pasted_Exports'!AS23&lt;&gt;"",'Pasted_Exports'!AS23,'File_Intake'!AS23)</f>
        <v/>
      </c>
      <c r="AT23" s="47">
        <f>IF('Pasted_Exports'!AT23&lt;&gt;"",'Pasted_Exports'!AT23,'File_Intake'!AT23)</f>
        <v/>
      </c>
      <c r="AU23" s="47">
        <f>IF('Pasted_Exports'!AU23&lt;&gt;"",'Pasted_Exports'!AU23,'File_Intake'!AU23)</f>
        <v/>
      </c>
      <c r="AV23" s="47">
        <f>IF('Pasted_Exports'!AV23&lt;&gt;"",'Pasted_Exports'!AV23,'File_Intake'!AV23)</f>
        <v/>
      </c>
      <c r="AW23" s="56">
        <f>IF('Pasted_Exports'!AW23&lt;&gt;"",'Pasted_Exports'!AW23,'File_Intake'!AW23)</f>
        <v/>
      </c>
      <c r="AX23" s="56">
        <f>IF('Pasted_Exports'!AX23&lt;&gt;"",'Pasted_Exports'!AX23,'File_Intake'!AX23)</f>
        <v/>
      </c>
      <c r="AY23" s="56">
        <f>IF('Pasted_Exports'!AY23&lt;&gt;"",'Pasted_Exports'!AY23,'File_Intake'!AY23)</f>
        <v/>
      </c>
      <c r="AZ23" s="47">
        <f>IF('Pasted_Exports'!AZ23&lt;&gt;"",'Pasted_Exports'!AZ23,'File_Intake'!AZ23)</f>
        <v/>
      </c>
      <c r="BA23" s="47">
        <f>IF('Pasted_Exports'!BA23&lt;&gt;"",'Pasted_Exports'!BA23,'File_Intake'!BA23)</f>
        <v/>
      </c>
      <c r="BB23" s="47">
        <f>IF('Pasted_Exports'!BB23&lt;&gt;"",'Pasted_Exports'!BB23,'File_Intake'!BB23)</f>
        <v/>
      </c>
      <c r="BC23" s="27">
        <f>IF('Pasted_Exports'!BC23&lt;&gt;"",'Pasted_Exports'!BC23,'File_Intake'!BC23)</f>
        <v/>
      </c>
      <c r="BD23" s="27">
        <f>IF('Pasted_Exports'!BD23&lt;&gt;"",'Pasted_Exports'!BD23,'File_Intake'!BD23)</f>
        <v/>
      </c>
      <c r="BE23" s="27">
        <f>IF('Pasted_Exports'!BE23&lt;&gt;"",'Pasted_Exports'!BE23,'File_Intake'!BE23)</f>
        <v/>
      </c>
      <c r="BF23" s="47">
        <f>IF('Pasted_Exports'!BF23&lt;&gt;"",'Pasted_Exports'!BF23,'File_Intake'!BF23)</f>
        <v/>
      </c>
      <c r="BG23" s="47">
        <f>IF('Pasted_Exports'!BG23&lt;&gt;"",'Pasted_Exports'!BG23,'File_Intake'!BG23)</f>
        <v/>
      </c>
      <c r="BH23" s="47">
        <f>IF('Pasted_Exports'!BH23&lt;&gt;"",'Pasted_Exports'!BH23,'File_Intake'!BH23)</f>
        <v/>
      </c>
      <c r="BI23" s="47">
        <f>IF('Pasted_Exports'!BI23&lt;&gt;"",'Pasted_Exports'!BI23,'File_Intake'!BI23)</f>
        <v/>
      </c>
      <c r="BJ23" s="47">
        <f>IF('Pasted_Exports'!BJ23&lt;&gt;"",'Pasted_Exports'!BJ23,'File_Intake'!BJ23)</f>
        <v/>
      </c>
      <c r="BK23" s="47">
        <f>IF('Pasted_Exports'!BK23&lt;&gt;"",'Pasted_Exports'!BK23,'File_Intake'!BK23)</f>
        <v/>
      </c>
      <c r="BL23" s="47">
        <f>IF('Pasted_Exports'!BL23&lt;&gt;"",'Pasted_Exports'!BL23,'File_Intake'!BL23)</f>
        <v/>
      </c>
      <c r="BM23" s="47">
        <f>IF('Pasted_Exports'!BM23&lt;&gt;"",'Pasted_Exports'!BM23,'File_Intake'!BM23)</f>
        <v/>
      </c>
      <c r="BN23" s="47">
        <f>IF('Pasted_Exports'!BN23&lt;&gt;"",'Pasted_Exports'!BN23,'File_Intake'!BN23)</f>
        <v/>
      </c>
      <c r="BO23" s="47">
        <f>IF('Pasted_Exports'!BO23&lt;&gt;"",'Pasted_Exports'!BO23,'File_Intake'!BO23)</f>
        <v/>
      </c>
      <c r="BP23" s="47">
        <f>IF('Pasted_Exports'!BP23&lt;&gt;"",'Pasted_Exports'!BP23,'File_Intake'!BP23)</f>
        <v/>
      </c>
      <c r="BQ23" s="47">
        <f>IF('Pasted_Exports'!BQ23&lt;&gt;"",'Pasted_Exports'!BQ23,'File_Intake'!BQ23)</f>
        <v/>
      </c>
      <c r="BR23" s="47">
        <f>IF('Pasted_Exports'!BR23&lt;&gt;"",'Pasted_Exports'!BR23,'File_Intake'!BR23)</f>
        <v/>
      </c>
      <c r="BS23" s="47">
        <f>IF('Pasted_Exports'!BS23&lt;&gt;"",'Pasted_Exports'!BS23,'File_Intake'!BS23)</f>
        <v/>
      </c>
      <c r="BT23" s="47">
        <f>IF('Pasted_Exports'!BT23&lt;&gt;"",'Pasted_Exports'!BT23,'File_Intake'!BT23)</f>
        <v/>
      </c>
      <c r="BU23" s="47">
        <f>IF('Pasted_Exports'!BU23&lt;&gt;"",'Pasted_Exports'!BU23,'File_Intake'!BU23)</f>
        <v/>
      </c>
      <c r="BV23" s="47">
        <f>IF('Pasted_Exports'!BV23&lt;&gt;"",'Pasted_Exports'!BV23,'File_Intake'!BV23)</f>
        <v/>
      </c>
      <c r="BW23" s="47">
        <f>IF('Pasted_Exports'!BW23&lt;&gt;"",'Pasted_Exports'!BW23,'File_Intake'!BW23)</f>
        <v/>
      </c>
      <c r="BX23" s="29">
        <f>IF(AND($A23&lt;&gt;"",$B23&lt;&gt;"",$K23&gt;='Study_Setup'!$B$14,$L23&gt;='Study_Setup'!$B$15),1,0)</f>
        <v/>
      </c>
      <c r="BY23" s="30">
        <f>IF($A23="","",TEXTJOIN("; ",TRUE,IF($B23="","Missing arm",""),IF($K23&lt;'Study_Setup'!$B$14,"Low off-days",""),IF($L23&lt;'Study_Setup'!$B$15,"Low on-days",""),IF($AM23&gt;'Study_Setup'!$B$19,"Hypo burden increased","")))</f>
        <v/>
      </c>
      <c r="BZ23" s="61">
        <f>IFERROR($M23-$N23,"")</f>
        <v/>
      </c>
      <c r="CA23" s="62">
        <f>IFERROR(($M23-$N23)/$M23,"")</f>
        <v/>
      </c>
      <c r="CB23" s="33">
        <f>IFERROR($P23-$Q23,"")</f>
        <v/>
      </c>
      <c r="CC23" s="63">
        <f>IFERROR($T23-$S23,"")</f>
        <v/>
      </c>
      <c r="CD23" s="33">
        <f>IFERROR($AH23-$AI23,"")</f>
        <v/>
      </c>
      <c r="CE23" s="62">
        <f>IFERROR(($AH23-$AI23)/$AH23,"")</f>
        <v/>
      </c>
      <c r="CF23" s="33">
        <f>IFERROR($AQ23-$AR23,"")</f>
        <v/>
      </c>
      <c r="CG23" s="61">
        <f>IFERROR($BO23-$BP23,"")</f>
        <v/>
      </c>
      <c r="CH23" s="61">
        <f>IFERROR($BI23-$BJ23,"")</f>
        <v/>
      </c>
      <c r="CI23" s="61">
        <f>IFERROR($BL23-$BM23,"")</f>
        <v/>
      </c>
      <c r="CJ23" s="61">
        <f>IFERROR($BF23-$BG23,"")</f>
        <v/>
      </c>
      <c r="CK23" s="33">
        <f>IFERROR($BC23-$BD23,"")</f>
        <v/>
      </c>
      <c r="CL23" s="29">
        <f>IF($A23="","",IF($AM23&lt;='Study_Setup'!$B$19,1,0))</f>
        <v/>
      </c>
      <c r="CM23" s="29">
        <f>IF($A23="","",IF(AND($BZ23&gt;='Study_Setup'!$B$16,$CC23&gt;='Study_Setup'!$B$17,$CE23&gt;='Study_Setup'!$B$18,$CL23=1),1,0))</f>
        <v/>
      </c>
      <c r="CN23" s="61">
        <f>IFERROR(40*MIN(1,$BZ23/'Study_Setup'!$B$16)+25*MIN(1,$CC23/'Study_Setup'!$B$17)+25*MIN(1,$CE23/'Study_Setup'!$B$18)+10*$CL23,"")</f>
        <v/>
      </c>
      <c r="CO23">
        <f>IF('Pasted_Exports'!BX23&lt;&gt;"",'Pasted_Exports'!BX23,'File_Intake'!BX23)</f>
        <v/>
      </c>
      <c r="CP23" s="57">
        <f>IF('Pasted_Exports'!BY23&lt;&gt;"",'Pasted_Exports'!BY23,'File_Intake'!BY23)</f>
        <v/>
      </c>
      <c r="CQ23" s="57">
        <f>IF('Pasted_Exports'!BZ23&lt;&gt;"",'Pasted_Exports'!BZ23,'File_Intake'!BZ23)</f>
        <v/>
      </c>
      <c r="CR23" s="57">
        <f>IF('Pasted_Exports'!CA23&lt;&gt;"",'Pasted_Exports'!CA23,'File_Intake'!CA23)</f>
        <v/>
      </c>
      <c r="CS23" s="58">
        <f>IF('Pasted_Exports'!CB23&lt;&gt;"",'Pasted_Exports'!CB23,'File_Intake'!CB23)</f>
        <v/>
      </c>
      <c r="CT23" s="59">
        <f>IF('Pasted_Exports'!CC23&lt;&gt;"",'Pasted_Exports'!CC23,'File_Intake'!CC23)</f>
        <v/>
      </c>
      <c r="CU23">
        <f>IF('Pasted_Exports'!CD23&lt;&gt;"",'Pasted_Exports'!CD23,'File_Intake'!CD23)</f>
        <v/>
      </c>
      <c r="CV23">
        <f>IF('Pasted_Exports'!CE23&lt;&gt;"",'Pasted_Exports'!CE23,'File_Intake'!CE23)</f>
        <v/>
      </c>
      <c r="CW23" s="60">
        <f>IF('Pasted_Exports'!CF23&lt;&gt;"",'Pasted_Exports'!CF23,'File_Intake'!CF23)</f>
        <v/>
      </c>
      <c r="CX23" s="60">
        <f>IF('Pasted_Exports'!CG23&lt;&gt;"",'Pasted_Exports'!CG23,'File_Intake'!CG23)</f>
        <v/>
      </c>
      <c r="CY23">
        <f>IF('Pasted_Exports'!CH23&lt;&gt;"",'Pasted_Exports'!CH23,'File_Intake'!CH23)</f>
        <v/>
      </c>
    </row>
    <row r="24">
      <c r="A24" s="24">
        <f>IF('Pasted_Exports'!A24&lt;&gt;"",'Pasted_Exports'!A24,'File_Intake'!A24)</f>
        <v/>
      </c>
      <c r="B24" s="24">
        <f>IF('Pasted_Exports'!B24&lt;&gt;"",'Pasted_Exports'!B24,'File_Intake'!B24)</f>
        <v/>
      </c>
      <c r="C24" s="24">
        <f>IF('Pasted_Exports'!C24&lt;&gt;"",'Pasted_Exports'!C24,'File_Intake'!C24)</f>
        <v/>
      </c>
      <c r="D24" s="24">
        <f>IF('Pasted_Exports'!D24&lt;&gt;"",'Pasted_Exports'!D24,'File_Intake'!D24)</f>
        <v/>
      </c>
      <c r="E24" s="55">
        <f>IF('Pasted_Exports'!E24&lt;&gt;"",'Pasted_Exports'!E24,'File_Intake'!E24)</f>
        <v/>
      </c>
      <c r="F24" s="26">
        <f>IF('Pasted_Exports'!F24&lt;&gt;"",'Pasted_Exports'!F24,'File_Intake'!F24)</f>
        <v/>
      </c>
      <c r="G24" s="26">
        <f>IF('Pasted_Exports'!G24&lt;&gt;"",'Pasted_Exports'!G24,'File_Intake'!G24)</f>
        <v/>
      </c>
      <c r="H24" s="47">
        <f>IF('Pasted_Exports'!H24&lt;&gt;"",'Pasted_Exports'!H24,'File_Intake'!H24)</f>
        <v/>
      </c>
      <c r="I24" s="26">
        <f>IF('Pasted_Exports'!I24&lt;&gt;"",'Pasted_Exports'!I24,'File_Intake'!I24)</f>
        <v/>
      </c>
      <c r="J24" s="26">
        <f>IF('Pasted_Exports'!J24&lt;&gt;"",'Pasted_Exports'!J24,'File_Intake'!J24)</f>
        <v/>
      </c>
      <c r="K24" s="47">
        <f>IF('Pasted_Exports'!K24&lt;&gt;"",'Pasted_Exports'!K24,'File_Intake'!K24)</f>
        <v/>
      </c>
      <c r="L24" s="47">
        <f>IF('Pasted_Exports'!L24&lt;&gt;"",'Pasted_Exports'!L24,'File_Intake'!L24)</f>
        <v/>
      </c>
      <c r="M24" s="47">
        <f>IF('Pasted_Exports'!M24&lt;&gt;"",'Pasted_Exports'!M24,'File_Intake'!M24)</f>
        <v/>
      </c>
      <c r="N24" s="47">
        <f>IF('Pasted_Exports'!N24&lt;&gt;"",'Pasted_Exports'!N24,'File_Intake'!N24)</f>
        <v/>
      </c>
      <c r="O24" s="47">
        <f>IF('Pasted_Exports'!O24&lt;&gt;"",'Pasted_Exports'!O24,'File_Intake'!O24)</f>
        <v/>
      </c>
      <c r="P24" s="27">
        <f>IF('Pasted_Exports'!P24&lt;&gt;"",'Pasted_Exports'!P24,'File_Intake'!P24)</f>
        <v/>
      </c>
      <c r="Q24" s="27">
        <f>IF('Pasted_Exports'!Q24&lt;&gt;"",'Pasted_Exports'!Q24,'File_Intake'!Q24)</f>
        <v/>
      </c>
      <c r="R24" s="27">
        <f>IF('Pasted_Exports'!R24&lt;&gt;"",'Pasted_Exports'!R24,'File_Intake'!R24)</f>
        <v/>
      </c>
      <c r="S24" s="56">
        <f>IF('Pasted_Exports'!S24&lt;&gt;"",'Pasted_Exports'!S24,'File_Intake'!S24)</f>
        <v/>
      </c>
      <c r="T24" s="56">
        <f>IF('Pasted_Exports'!T24&lt;&gt;"",'Pasted_Exports'!T24,'File_Intake'!T24)</f>
        <v/>
      </c>
      <c r="U24" s="56">
        <f>IF('Pasted_Exports'!U24&lt;&gt;"",'Pasted_Exports'!U24,'File_Intake'!U24)</f>
        <v/>
      </c>
      <c r="V24" s="56">
        <f>IF('Pasted_Exports'!V24&lt;&gt;"",'Pasted_Exports'!V24,'File_Intake'!V24)</f>
        <v/>
      </c>
      <c r="W24" s="56">
        <f>IF('Pasted_Exports'!W24&lt;&gt;"",'Pasted_Exports'!W24,'File_Intake'!W24)</f>
        <v/>
      </c>
      <c r="X24" s="56">
        <f>IF('Pasted_Exports'!X24&lt;&gt;"",'Pasted_Exports'!X24,'File_Intake'!X24)</f>
        <v/>
      </c>
      <c r="Y24" s="56">
        <f>IF('Pasted_Exports'!Y24&lt;&gt;"",'Pasted_Exports'!Y24,'File_Intake'!Y24)</f>
        <v/>
      </c>
      <c r="Z24" s="56">
        <f>IF('Pasted_Exports'!Z24&lt;&gt;"",'Pasted_Exports'!Z24,'File_Intake'!Z24)</f>
        <v/>
      </c>
      <c r="AA24" s="56">
        <f>IF('Pasted_Exports'!AA24&lt;&gt;"",'Pasted_Exports'!AA24,'File_Intake'!AA24)</f>
        <v/>
      </c>
      <c r="AB24" s="56">
        <f>IF('Pasted_Exports'!AB24&lt;&gt;"",'Pasted_Exports'!AB24,'File_Intake'!AB24)</f>
        <v/>
      </c>
      <c r="AC24" s="56">
        <f>IF('Pasted_Exports'!AC24&lt;&gt;"",'Pasted_Exports'!AC24,'File_Intake'!AC24)</f>
        <v/>
      </c>
      <c r="AD24" s="56">
        <f>IF('Pasted_Exports'!AD24&lt;&gt;"",'Pasted_Exports'!AD24,'File_Intake'!AD24)</f>
        <v/>
      </c>
      <c r="AE24" s="56">
        <f>IF('Pasted_Exports'!AE24&lt;&gt;"",'Pasted_Exports'!AE24,'File_Intake'!AE24)</f>
        <v/>
      </c>
      <c r="AF24" s="56">
        <f>IF('Pasted_Exports'!AF24&lt;&gt;"",'Pasted_Exports'!AF24,'File_Intake'!AF24)</f>
        <v/>
      </c>
      <c r="AG24" s="56">
        <f>IF('Pasted_Exports'!AG24&lt;&gt;"",'Pasted_Exports'!AG24,'File_Intake'!AG24)</f>
        <v/>
      </c>
      <c r="AH24" s="27">
        <f>IF('Pasted_Exports'!AH24&lt;&gt;"",'Pasted_Exports'!AH24,'File_Intake'!AH24)</f>
        <v/>
      </c>
      <c r="AI24" s="27">
        <f>IF('Pasted_Exports'!AI24&lt;&gt;"",'Pasted_Exports'!AI24,'File_Intake'!AI24)</f>
        <v/>
      </c>
      <c r="AJ24" s="27">
        <f>IF('Pasted_Exports'!AJ24&lt;&gt;"",'Pasted_Exports'!AJ24,'File_Intake'!AJ24)</f>
        <v/>
      </c>
      <c r="AK24" s="27">
        <f>IF('Pasted_Exports'!AK24&lt;&gt;"",'Pasted_Exports'!AK24,'File_Intake'!AK24)</f>
        <v/>
      </c>
      <c r="AL24" s="27">
        <f>IF('Pasted_Exports'!AL24&lt;&gt;"",'Pasted_Exports'!AL24,'File_Intake'!AL24)</f>
        <v/>
      </c>
      <c r="AM24" s="27">
        <f>IF('Pasted_Exports'!AM24&lt;&gt;"",'Pasted_Exports'!AM24,'File_Intake'!AM24)</f>
        <v/>
      </c>
      <c r="AN24" s="27">
        <f>IF('Pasted_Exports'!AN24&lt;&gt;"",'Pasted_Exports'!AN24,'File_Intake'!AN24)</f>
        <v/>
      </c>
      <c r="AO24" s="27">
        <f>IF('Pasted_Exports'!AO24&lt;&gt;"",'Pasted_Exports'!AO24,'File_Intake'!AO24)</f>
        <v/>
      </c>
      <c r="AP24" s="27">
        <f>IF('Pasted_Exports'!AP24&lt;&gt;"",'Pasted_Exports'!AP24,'File_Intake'!AP24)</f>
        <v/>
      </c>
      <c r="AQ24" s="27">
        <f>IF('Pasted_Exports'!AQ24&lt;&gt;"",'Pasted_Exports'!AQ24,'File_Intake'!AQ24)</f>
        <v/>
      </c>
      <c r="AR24" s="27">
        <f>IF('Pasted_Exports'!AR24&lt;&gt;"",'Pasted_Exports'!AR24,'File_Intake'!AR24)</f>
        <v/>
      </c>
      <c r="AS24" s="27">
        <f>IF('Pasted_Exports'!AS24&lt;&gt;"",'Pasted_Exports'!AS24,'File_Intake'!AS24)</f>
        <v/>
      </c>
      <c r="AT24" s="47">
        <f>IF('Pasted_Exports'!AT24&lt;&gt;"",'Pasted_Exports'!AT24,'File_Intake'!AT24)</f>
        <v/>
      </c>
      <c r="AU24" s="47">
        <f>IF('Pasted_Exports'!AU24&lt;&gt;"",'Pasted_Exports'!AU24,'File_Intake'!AU24)</f>
        <v/>
      </c>
      <c r="AV24" s="47">
        <f>IF('Pasted_Exports'!AV24&lt;&gt;"",'Pasted_Exports'!AV24,'File_Intake'!AV24)</f>
        <v/>
      </c>
      <c r="AW24" s="56">
        <f>IF('Pasted_Exports'!AW24&lt;&gt;"",'Pasted_Exports'!AW24,'File_Intake'!AW24)</f>
        <v/>
      </c>
      <c r="AX24" s="56">
        <f>IF('Pasted_Exports'!AX24&lt;&gt;"",'Pasted_Exports'!AX24,'File_Intake'!AX24)</f>
        <v/>
      </c>
      <c r="AY24" s="56">
        <f>IF('Pasted_Exports'!AY24&lt;&gt;"",'Pasted_Exports'!AY24,'File_Intake'!AY24)</f>
        <v/>
      </c>
      <c r="AZ24" s="47">
        <f>IF('Pasted_Exports'!AZ24&lt;&gt;"",'Pasted_Exports'!AZ24,'File_Intake'!AZ24)</f>
        <v/>
      </c>
      <c r="BA24" s="47">
        <f>IF('Pasted_Exports'!BA24&lt;&gt;"",'Pasted_Exports'!BA24,'File_Intake'!BA24)</f>
        <v/>
      </c>
      <c r="BB24" s="47">
        <f>IF('Pasted_Exports'!BB24&lt;&gt;"",'Pasted_Exports'!BB24,'File_Intake'!BB24)</f>
        <v/>
      </c>
      <c r="BC24" s="27">
        <f>IF('Pasted_Exports'!BC24&lt;&gt;"",'Pasted_Exports'!BC24,'File_Intake'!BC24)</f>
        <v/>
      </c>
      <c r="BD24" s="27">
        <f>IF('Pasted_Exports'!BD24&lt;&gt;"",'Pasted_Exports'!BD24,'File_Intake'!BD24)</f>
        <v/>
      </c>
      <c r="BE24" s="27">
        <f>IF('Pasted_Exports'!BE24&lt;&gt;"",'Pasted_Exports'!BE24,'File_Intake'!BE24)</f>
        <v/>
      </c>
      <c r="BF24" s="47">
        <f>IF('Pasted_Exports'!BF24&lt;&gt;"",'Pasted_Exports'!BF24,'File_Intake'!BF24)</f>
        <v/>
      </c>
      <c r="BG24" s="47">
        <f>IF('Pasted_Exports'!BG24&lt;&gt;"",'Pasted_Exports'!BG24,'File_Intake'!BG24)</f>
        <v/>
      </c>
      <c r="BH24" s="47">
        <f>IF('Pasted_Exports'!BH24&lt;&gt;"",'Pasted_Exports'!BH24,'File_Intake'!BH24)</f>
        <v/>
      </c>
      <c r="BI24" s="47">
        <f>IF('Pasted_Exports'!BI24&lt;&gt;"",'Pasted_Exports'!BI24,'File_Intake'!BI24)</f>
        <v/>
      </c>
      <c r="BJ24" s="47">
        <f>IF('Pasted_Exports'!BJ24&lt;&gt;"",'Pasted_Exports'!BJ24,'File_Intake'!BJ24)</f>
        <v/>
      </c>
      <c r="BK24" s="47">
        <f>IF('Pasted_Exports'!BK24&lt;&gt;"",'Pasted_Exports'!BK24,'File_Intake'!BK24)</f>
        <v/>
      </c>
      <c r="BL24" s="47">
        <f>IF('Pasted_Exports'!BL24&lt;&gt;"",'Pasted_Exports'!BL24,'File_Intake'!BL24)</f>
        <v/>
      </c>
      <c r="BM24" s="47">
        <f>IF('Pasted_Exports'!BM24&lt;&gt;"",'Pasted_Exports'!BM24,'File_Intake'!BM24)</f>
        <v/>
      </c>
      <c r="BN24" s="47">
        <f>IF('Pasted_Exports'!BN24&lt;&gt;"",'Pasted_Exports'!BN24,'File_Intake'!BN24)</f>
        <v/>
      </c>
      <c r="BO24" s="47">
        <f>IF('Pasted_Exports'!BO24&lt;&gt;"",'Pasted_Exports'!BO24,'File_Intake'!BO24)</f>
        <v/>
      </c>
      <c r="BP24" s="47">
        <f>IF('Pasted_Exports'!BP24&lt;&gt;"",'Pasted_Exports'!BP24,'File_Intake'!BP24)</f>
        <v/>
      </c>
      <c r="BQ24" s="47">
        <f>IF('Pasted_Exports'!BQ24&lt;&gt;"",'Pasted_Exports'!BQ24,'File_Intake'!BQ24)</f>
        <v/>
      </c>
      <c r="BR24" s="47">
        <f>IF('Pasted_Exports'!BR24&lt;&gt;"",'Pasted_Exports'!BR24,'File_Intake'!BR24)</f>
        <v/>
      </c>
      <c r="BS24" s="47">
        <f>IF('Pasted_Exports'!BS24&lt;&gt;"",'Pasted_Exports'!BS24,'File_Intake'!BS24)</f>
        <v/>
      </c>
      <c r="BT24" s="47">
        <f>IF('Pasted_Exports'!BT24&lt;&gt;"",'Pasted_Exports'!BT24,'File_Intake'!BT24)</f>
        <v/>
      </c>
      <c r="BU24" s="47">
        <f>IF('Pasted_Exports'!BU24&lt;&gt;"",'Pasted_Exports'!BU24,'File_Intake'!BU24)</f>
        <v/>
      </c>
      <c r="BV24" s="47">
        <f>IF('Pasted_Exports'!BV24&lt;&gt;"",'Pasted_Exports'!BV24,'File_Intake'!BV24)</f>
        <v/>
      </c>
      <c r="BW24" s="47">
        <f>IF('Pasted_Exports'!BW24&lt;&gt;"",'Pasted_Exports'!BW24,'File_Intake'!BW24)</f>
        <v/>
      </c>
      <c r="BX24" s="29">
        <f>IF(AND($A24&lt;&gt;"",$B24&lt;&gt;"",$K24&gt;='Study_Setup'!$B$14,$L24&gt;='Study_Setup'!$B$15),1,0)</f>
        <v/>
      </c>
      <c r="BY24" s="30">
        <f>IF($A24="","",TEXTJOIN("; ",TRUE,IF($B24="","Missing arm",""),IF($K24&lt;'Study_Setup'!$B$14,"Low off-days",""),IF($L24&lt;'Study_Setup'!$B$15,"Low on-days",""),IF($AM24&gt;'Study_Setup'!$B$19,"Hypo burden increased","")))</f>
        <v/>
      </c>
      <c r="BZ24" s="61">
        <f>IFERROR($M24-$N24,"")</f>
        <v/>
      </c>
      <c r="CA24" s="62">
        <f>IFERROR(($M24-$N24)/$M24,"")</f>
        <v/>
      </c>
      <c r="CB24" s="33">
        <f>IFERROR($P24-$Q24,"")</f>
        <v/>
      </c>
      <c r="CC24" s="63">
        <f>IFERROR($T24-$S24,"")</f>
        <v/>
      </c>
      <c r="CD24" s="33">
        <f>IFERROR($AH24-$AI24,"")</f>
        <v/>
      </c>
      <c r="CE24" s="62">
        <f>IFERROR(($AH24-$AI24)/$AH24,"")</f>
        <v/>
      </c>
      <c r="CF24" s="33">
        <f>IFERROR($AQ24-$AR24,"")</f>
        <v/>
      </c>
      <c r="CG24" s="61">
        <f>IFERROR($BO24-$BP24,"")</f>
        <v/>
      </c>
      <c r="CH24" s="61">
        <f>IFERROR($BI24-$BJ24,"")</f>
        <v/>
      </c>
      <c r="CI24" s="61">
        <f>IFERROR($BL24-$BM24,"")</f>
        <v/>
      </c>
      <c r="CJ24" s="61">
        <f>IFERROR($BF24-$BG24,"")</f>
        <v/>
      </c>
      <c r="CK24" s="33">
        <f>IFERROR($BC24-$BD24,"")</f>
        <v/>
      </c>
      <c r="CL24" s="29">
        <f>IF($A24="","",IF($AM24&lt;='Study_Setup'!$B$19,1,0))</f>
        <v/>
      </c>
      <c r="CM24" s="29">
        <f>IF($A24="","",IF(AND($BZ24&gt;='Study_Setup'!$B$16,$CC24&gt;='Study_Setup'!$B$17,$CE24&gt;='Study_Setup'!$B$18,$CL24=1),1,0))</f>
        <v/>
      </c>
      <c r="CN24" s="61">
        <f>IFERROR(40*MIN(1,$BZ24/'Study_Setup'!$B$16)+25*MIN(1,$CC24/'Study_Setup'!$B$17)+25*MIN(1,$CE24/'Study_Setup'!$B$18)+10*$CL24,"")</f>
        <v/>
      </c>
      <c r="CO24">
        <f>IF('Pasted_Exports'!BX24&lt;&gt;"",'Pasted_Exports'!BX24,'File_Intake'!BX24)</f>
        <v/>
      </c>
      <c r="CP24" s="57">
        <f>IF('Pasted_Exports'!BY24&lt;&gt;"",'Pasted_Exports'!BY24,'File_Intake'!BY24)</f>
        <v/>
      </c>
      <c r="CQ24" s="57">
        <f>IF('Pasted_Exports'!BZ24&lt;&gt;"",'Pasted_Exports'!BZ24,'File_Intake'!BZ24)</f>
        <v/>
      </c>
      <c r="CR24" s="57">
        <f>IF('Pasted_Exports'!CA24&lt;&gt;"",'Pasted_Exports'!CA24,'File_Intake'!CA24)</f>
        <v/>
      </c>
      <c r="CS24" s="58">
        <f>IF('Pasted_Exports'!CB24&lt;&gt;"",'Pasted_Exports'!CB24,'File_Intake'!CB24)</f>
        <v/>
      </c>
      <c r="CT24" s="59">
        <f>IF('Pasted_Exports'!CC24&lt;&gt;"",'Pasted_Exports'!CC24,'File_Intake'!CC24)</f>
        <v/>
      </c>
      <c r="CU24">
        <f>IF('Pasted_Exports'!CD24&lt;&gt;"",'Pasted_Exports'!CD24,'File_Intake'!CD24)</f>
        <v/>
      </c>
      <c r="CV24">
        <f>IF('Pasted_Exports'!CE24&lt;&gt;"",'Pasted_Exports'!CE24,'File_Intake'!CE24)</f>
        <v/>
      </c>
      <c r="CW24" s="60">
        <f>IF('Pasted_Exports'!CF24&lt;&gt;"",'Pasted_Exports'!CF24,'File_Intake'!CF24)</f>
        <v/>
      </c>
      <c r="CX24" s="60">
        <f>IF('Pasted_Exports'!CG24&lt;&gt;"",'Pasted_Exports'!CG24,'File_Intake'!CG24)</f>
        <v/>
      </c>
      <c r="CY24">
        <f>IF('Pasted_Exports'!CH24&lt;&gt;"",'Pasted_Exports'!CH24,'File_Intake'!CH24)</f>
        <v/>
      </c>
    </row>
    <row r="25">
      <c r="A25" s="24">
        <f>IF('Pasted_Exports'!A25&lt;&gt;"",'Pasted_Exports'!A25,'File_Intake'!A25)</f>
        <v/>
      </c>
      <c r="B25" s="24">
        <f>IF('Pasted_Exports'!B25&lt;&gt;"",'Pasted_Exports'!B25,'File_Intake'!B25)</f>
        <v/>
      </c>
      <c r="C25" s="24">
        <f>IF('Pasted_Exports'!C25&lt;&gt;"",'Pasted_Exports'!C25,'File_Intake'!C25)</f>
        <v/>
      </c>
      <c r="D25" s="24">
        <f>IF('Pasted_Exports'!D25&lt;&gt;"",'Pasted_Exports'!D25,'File_Intake'!D25)</f>
        <v/>
      </c>
      <c r="E25" s="55">
        <f>IF('Pasted_Exports'!E25&lt;&gt;"",'Pasted_Exports'!E25,'File_Intake'!E25)</f>
        <v/>
      </c>
      <c r="F25" s="26">
        <f>IF('Pasted_Exports'!F25&lt;&gt;"",'Pasted_Exports'!F25,'File_Intake'!F25)</f>
        <v/>
      </c>
      <c r="G25" s="26">
        <f>IF('Pasted_Exports'!G25&lt;&gt;"",'Pasted_Exports'!G25,'File_Intake'!G25)</f>
        <v/>
      </c>
      <c r="H25" s="47">
        <f>IF('Pasted_Exports'!H25&lt;&gt;"",'Pasted_Exports'!H25,'File_Intake'!H25)</f>
        <v/>
      </c>
      <c r="I25" s="26">
        <f>IF('Pasted_Exports'!I25&lt;&gt;"",'Pasted_Exports'!I25,'File_Intake'!I25)</f>
        <v/>
      </c>
      <c r="J25" s="26">
        <f>IF('Pasted_Exports'!J25&lt;&gt;"",'Pasted_Exports'!J25,'File_Intake'!J25)</f>
        <v/>
      </c>
      <c r="K25" s="47">
        <f>IF('Pasted_Exports'!K25&lt;&gt;"",'Pasted_Exports'!K25,'File_Intake'!K25)</f>
        <v/>
      </c>
      <c r="L25" s="47">
        <f>IF('Pasted_Exports'!L25&lt;&gt;"",'Pasted_Exports'!L25,'File_Intake'!L25)</f>
        <v/>
      </c>
      <c r="M25" s="47">
        <f>IF('Pasted_Exports'!M25&lt;&gt;"",'Pasted_Exports'!M25,'File_Intake'!M25)</f>
        <v/>
      </c>
      <c r="N25" s="47">
        <f>IF('Pasted_Exports'!N25&lt;&gt;"",'Pasted_Exports'!N25,'File_Intake'!N25)</f>
        <v/>
      </c>
      <c r="O25" s="47">
        <f>IF('Pasted_Exports'!O25&lt;&gt;"",'Pasted_Exports'!O25,'File_Intake'!O25)</f>
        <v/>
      </c>
      <c r="P25" s="27">
        <f>IF('Pasted_Exports'!P25&lt;&gt;"",'Pasted_Exports'!P25,'File_Intake'!P25)</f>
        <v/>
      </c>
      <c r="Q25" s="27">
        <f>IF('Pasted_Exports'!Q25&lt;&gt;"",'Pasted_Exports'!Q25,'File_Intake'!Q25)</f>
        <v/>
      </c>
      <c r="R25" s="27">
        <f>IF('Pasted_Exports'!R25&lt;&gt;"",'Pasted_Exports'!R25,'File_Intake'!R25)</f>
        <v/>
      </c>
      <c r="S25" s="56">
        <f>IF('Pasted_Exports'!S25&lt;&gt;"",'Pasted_Exports'!S25,'File_Intake'!S25)</f>
        <v/>
      </c>
      <c r="T25" s="56">
        <f>IF('Pasted_Exports'!T25&lt;&gt;"",'Pasted_Exports'!T25,'File_Intake'!T25)</f>
        <v/>
      </c>
      <c r="U25" s="56">
        <f>IF('Pasted_Exports'!U25&lt;&gt;"",'Pasted_Exports'!U25,'File_Intake'!U25)</f>
        <v/>
      </c>
      <c r="V25" s="56">
        <f>IF('Pasted_Exports'!V25&lt;&gt;"",'Pasted_Exports'!V25,'File_Intake'!V25)</f>
        <v/>
      </c>
      <c r="W25" s="56">
        <f>IF('Pasted_Exports'!W25&lt;&gt;"",'Pasted_Exports'!W25,'File_Intake'!W25)</f>
        <v/>
      </c>
      <c r="X25" s="56">
        <f>IF('Pasted_Exports'!X25&lt;&gt;"",'Pasted_Exports'!X25,'File_Intake'!X25)</f>
        <v/>
      </c>
      <c r="Y25" s="56">
        <f>IF('Pasted_Exports'!Y25&lt;&gt;"",'Pasted_Exports'!Y25,'File_Intake'!Y25)</f>
        <v/>
      </c>
      <c r="Z25" s="56">
        <f>IF('Pasted_Exports'!Z25&lt;&gt;"",'Pasted_Exports'!Z25,'File_Intake'!Z25)</f>
        <v/>
      </c>
      <c r="AA25" s="56">
        <f>IF('Pasted_Exports'!AA25&lt;&gt;"",'Pasted_Exports'!AA25,'File_Intake'!AA25)</f>
        <v/>
      </c>
      <c r="AB25" s="56">
        <f>IF('Pasted_Exports'!AB25&lt;&gt;"",'Pasted_Exports'!AB25,'File_Intake'!AB25)</f>
        <v/>
      </c>
      <c r="AC25" s="56">
        <f>IF('Pasted_Exports'!AC25&lt;&gt;"",'Pasted_Exports'!AC25,'File_Intake'!AC25)</f>
        <v/>
      </c>
      <c r="AD25" s="56">
        <f>IF('Pasted_Exports'!AD25&lt;&gt;"",'Pasted_Exports'!AD25,'File_Intake'!AD25)</f>
        <v/>
      </c>
      <c r="AE25" s="56">
        <f>IF('Pasted_Exports'!AE25&lt;&gt;"",'Pasted_Exports'!AE25,'File_Intake'!AE25)</f>
        <v/>
      </c>
      <c r="AF25" s="56">
        <f>IF('Pasted_Exports'!AF25&lt;&gt;"",'Pasted_Exports'!AF25,'File_Intake'!AF25)</f>
        <v/>
      </c>
      <c r="AG25" s="56">
        <f>IF('Pasted_Exports'!AG25&lt;&gt;"",'Pasted_Exports'!AG25,'File_Intake'!AG25)</f>
        <v/>
      </c>
      <c r="AH25" s="27">
        <f>IF('Pasted_Exports'!AH25&lt;&gt;"",'Pasted_Exports'!AH25,'File_Intake'!AH25)</f>
        <v/>
      </c>
      <c r="AI25" s="27">
        <f>IF('Pasted_Exports'!AI25&lt;&gt;"",'Pasted_Exports'!AI25,'File_Intake'!AI25)</f>
        <v/>
      </c>
      <c r="AJ25" s="27">
        <f>IF('Pasted_Exports'!AJ25&lt;&gt;"",'Pasted_Exports'!AJ25,'File_Intake'!AJ25)</f>
        <v/>
      </c>
      <c r="AK25" s="27">
        <f>IF('Pasted_Exports'!AK25&lt;&gt;"",'Pasted_Exports'!AK25,'File_Intake'!AK25)</f>
        <v/>
      </c>
      <c r="AL25" s="27">
        <f>IF('Pasted_Exports'!AL25&lt;&gt;"",'Pasted_Exports'!AL25,'File_Intake'!AL25)</f>
        <v/>
      </c>
      <c r="AM25" s="27">
        <f>IF('Pasted_Exports'!AM25&lt;&gt;"",'Pasted_Exports'!AM25,'File_Intake'!AM25)</f>
        <v/>
      </c>
      <c r="AN25" s="27">
        <f>IF('Pasted_Exports'!AN25&lt;&gt;"",'Pasted_Exports'!AN25,'File_Intake'!AN25)</f>
        <v/>
      </c>
      <c r="AO25" s="27">
        <f>IF('Pasted_Exports'!AO25&lt;&gt;"",'Pasted_Exports'!AO25,'File_Intake'!AO25)</f>
        <v/>
      </c>
      <c r="AP25" s="27">
        <f>IF('Pasted_Exports'!AP25&lt;&gt;"",'Pasted_Exports'!AP25,'File_Intake'!AP25)</f>
        <v/>
      </c>
      <c r="AQ25" s="27">
        <f>IF('Pasted_Exports'!AQ25&lt;&gt;"",'Pasted_Exports'!AQ25,'File_Intake'!AQ25)</f>
        <v/>
      </c>
      <c r="AR25" s="27">
        <f>IF('Pasted_Exports'!AR25&lt;&gt;"",'Pasted_Exports'!AR25,'File_Intake'!AR25)</f>
        <v/>
      </c>
      <c r="AS25" s="27">
        <f>IF('Pasted_Exports'!AS25&lt;&gt;"",'Pasted_Exports'!AS25,'File_Intake'!AS25)</f>
        <v/>
      </c>
      <c r="AT25" s="47">
        <f>IF('Pasted_Exports'!AT25&lt;&gt;"",'Pasted_Exports'!AT25,'File_Intake'!AT25)</f>
        <v/>
      </c>
      <c r="AU25" s="47">
        <f>IF('Pasted_Exports'!AU25&lt;&gt;"",'Pasted_Exports'!AU25,'File_Intake'!AU25)</f>
        <v/>
      </c>
      <c r="AV25" s="47">
        <f>IF('Pasted_Exports'!AV25&lt;&gt;"",'Pasted_Exports'!AV25,'File_Intake'!AV25)</f>
        <v/>
      </c>
      <c r="AW25" s="56">
        <f>IF('Pasted_Exports'!AW25&lt;&gt;"",'Pasted_Exports'!AW25,'File_Intake'!AW25)</f>
        <v/>
      </c>
      <c r="AX25" s="56">
        <f>IF('Pasted_Exports'!AX25&lt;&gt;"",'Pasted_Exports'!AX25,'File_Intake'!AX25)</f>
        <v/>
      </c>
      <c r="AY25" s="56">
        <f>IF('Pasted_Exports'!AY25&lt;&gt;"",'Pasted_Exports'!AY25,'File_Intake'!AY25)</f>
        <v/>
      </c>
      <c r="AZ25" s="47">
        <f>IF('Pasted_Exports'!AZ25&lt;&gt;"",'Pasted_Exports'!AZ25,'File_Intake'!AZ25)</f>
        <v/>
      </c>
      <c r="BA25" s="47">
        <f>IF('Pasted_Exports'!BA25&lt;&gt;"",'Pasted_Exports'!BA25,'File_Intake'!BA25)</f>
        <v/>
      </c>
      <c r="BB25" s="47">
        <f>IF('Pasted_Exports'!BB25&lt;&gt;"",'Pasted_Exports'!BB25,'File_Intake'!BB25)</f>
        <v/>
      </c>
      <c r="BC25" s="27">
        <f>IF('Pasted_Exports'!BC25&lt;&gt;"",'Pasted_Exports'!BC25,'File_Intake'!BC25)</f>
        <v/>
      </c>
      <c r="BD25" s="27">
        <f>IF('Pasted_Exports'!BD25&lt;&gt;"",'Pasted_Exports'!BD25,'File_Intake'!BD25)</f>
        <v/>
      </c>
      <c r="BE25" s="27">
        <f>IF('Pasted_Exports'!BE25&lt;&gt;"",'Pasted_Exports'!BE25,'File_Intake'!BE25)</f>
        <v/>
      </c>
      <c r="BF25" s="47">
        <f>IF('Pasted_Exports'!BF25&lt;&gt;"",'Pasted_Exports'!BF25,'File_Intake'!BF25)</f>
        <v/>
      </c>
      <c r="BG25" s="47">
        <f>IF('Pasted_Exports'!BG25&lt;&gt;"",'Pasted_Exports'!BG25,'File_Intake'!BG25)</f>
        <v/>
      </c>
      <c r="BH25" s="47">
        <f>IF('Pasted_Exports'!BH25&lt;&gt;"",'Pasted_Exports'!BH25,'File_Intake'!BH25)</f>
        <v/>
      </c>
      <c r="BI25" s="47">
        <f>IF('Pasted_Exports'!BI25&lt;&gt;"",'Pasted_Exports'!BI25,'File_Intake'!BI25)</f>
        <v/>
      </c>
      <c r="BJ25" s="47">
        <f>IF('Pasted_Exports'!BJ25&lt;&gt;"",'Pasted_Exports'!BJ25,'File_Intake'!BJ25)</f>
        <v/>
      </c>
      <c r="BK25" s="47">
        <f>IF('Pasted_Exports'!BK25&lt;&gt;"",'Pasted_Exports'!BK25,'File_Intake'!BK25)</f>
        <v/>
      </c>
      <c r="BL25" s="47">
        <f>IF('Pasted_Exports'!BL25&lt;&gt;"",'Pasted_Exports'!BL25,'File_Intake'!BL25)</f>
        <v/>
      </c>
      <c r="BM25" s="47">
        <f>IF('Pasted_Exports'!BM25&lt;&gt;"",'Pasted_Exports'!BM25,'File_Intake'!BM25)</f>
        <v/>
      </c>
      <c r="BN25" s="47">
        <f>IF('Pasted_Exports'!BN25&lt;&gt;"",'Pasted_Exports'!BN25,'File_Intake'!BN25)</f>
        <v/>
      </c>
      <c r="BO25" s="47">
        <f>IF('Pasted_Exports'!BO25&lt;&gt;"",'Pasted_Exports'!BO25,'File_Intake'!BO25)</f>
        <v/>
      </c>
      <c r="BP25" s="47">
        <f>IF('Pasted_Exports'!BP25&lt;&gt;"",'Pasted_Exports'!BP25,'File_Intake'!BP25)</f>
        <v/>
      </c>
      <c r="BQ25" s="47">
        <f>IF('Pasted_Exports'!BQ25&lt;&gt;"",'Pasted_Exports'!BQ25,'File_Intake'!BQ25)</f>
        <v/>
      </c>
      <c r="BR25" s="47">
        <f>IF('Pasted_Exports'!BR25&lt;&gt;"",'Pasted_Exports'!BR25,'File_Intake'!BR25)</f>
        <v/>
      </c>
      <c r="BS25" s="47">
        <f>IF('Pasted_Exports'!BS25&lt;&gt;"",'Pasted_Exports'!BS25,'File_Intake'!BS25)</f>
        <v/>
      </c>
      <c r="BT25" s="47">
        <f>IF('Pasted_Exports'!BT25&lt;&gt;"",'Pasted_Exports'!BT25,'File_Intake'!BT25)</f>
        <v/>
      </c>
      <c r="BU25" s="47">
        <f>IF('Pasted_Exports'!BU25&lt;&gt;"",'Pasted_Exports'!BU25,'File_Intake'!BU25)</f>
        <v/>
      </c>
      <c r="BV25" s="47">
        <f>IF('Pasted_Exports'!BV25&lt;&gt;"",'Pasted_Exports'!BV25,'File_Intake'!BV25)</f>
        <v/>
      </c>
      <c r="BW25" s="47">
        <f>IF('Pasted_Exports'!BW25&lt;&gt;"",'Pasted_Exports'!BW25,'File_Intake'!BW25)</f>
        <v/>
      </c>
      <c r="BX25" s="29">
        <f>IF(AND($A25&lt;&gt;"",$B25&lt;&gt;"",$K25&gt;='Study_Setup'!$B$14,$L25&gt;='Study_Setup'!$B$15),1,0)</f>
        <v/>
      </c>
      <c r="BY25" s="30">
        <f>IF($A25="","",TEXTJOIN("; ",TRUE,IF($B25="","Missing arm",""),IF($K25&lt;'Study_Setup'!$B$14,"Low off-days",""),IF($L25&lt;'Study_Setup'!$B$15,"Low on-days",""),IF($AM25&gt;'Study_Setup'!$B$19,"Hypo burden increased","")))</f>
        <v/>
      </c>
      <c r="BZ25" s="61">
        <f>IFERROR($M25-$N25,"")</f>
        <v/>
      </c>
      <c r="CA25" s="62">
        <f>IFERROR(($M25-$N25)/$M25,"")</f>
        <v/>
      </c>
      <c r="CB25" s="33">
        <f>IFERROR($P25-$Q25,"")</f>
        <v/>
      </c>
      <c r="CC25" s="63">
        <f>IFERROR($T25-$S25,"")</f>
        <v/>
      </c>
      <c r="CD25" s="33">
        <f>IFERROR($AH25-$AI25,"")</f>
        <v/>
      </c>
      <c r="CE25" s="62">
        <f>IFERROR(($AH25-$AI25)/$AH25,"")</f>
        <v/>
      </c>
      <c r="CF25" s="33">
        <f>IFERROR($AQ25-$AR25,"")</f>
        <v/>
      </c>
      <c r="CG25" s="61">
        <f>IFERROR($BO25-$BP25,"")</f>
        <v/>
      </c>
      <c r="CH25" s="61">
        <f>IFERROR($BI25-$BJ25,"")</f>
        <v/>
      </c>
      <c r="CI25" s="61">
        <f>IFERROR($BL25-$BM25,"")</f>
        <v/>
      </c>
      <c r="CJ25" s="61">
        <f>IFERROR($BF25-$BG25,"")</f>
        <v/>
      </c>
      <c r="CK25" s="33">
        <f>IFERROR($BC25-$BD25,"")</f>
        <v/>
      </c>
      <c r="CL25" s="29">
        <f>IF($A25="","",IF($AM25&lt;='Study_Setup'!$B$19,1,0))</f>
        <v/>
      </c>
      <c r="CM25" s="29">
        <f>IF($A25="","",IF(AND($BZ25&gt;='Study_Setup'!$B$16,$CC25&gt;='Study_Setup'!$B$17,$CE25&gt;='Study_Setup'!$B$18,$CL25=1),1,0))</f>
        <v/>
      </c>
      <c r="CN25" s="61">
        <f>IFERROR(40*MIN(1,$BZ25/'Study_Setup'!$B$16)+25*MIN(1,$CC25/'Study_Setup'!$B$17)+25*MIN(1,$CE25/'Study_Setup'!$B$18)+10*$CL25,"")</f>
        <v/>
      </c>
      <c r="CO25">
        <f>IF('Pasted_Exports'!BX25&lt;&gt;"",'Pasted_Exports'!BX25,'File_Intake'!BX25)</f>
        <v/>
      </c>
      <c r="CP25" s="57">
        <f>IF('Pasted_Exports'!BY25&lt;&gt;"",'Pasted_Exports'!BY25,'File_Intake'!BY25)</f>
        <v/>
      </c>
      <c r="CQ25" s="57">
        <f>IF('Pasted_Exports'!BZ25&lt;&gt;"",'Pasted_Exports'!BZ25,'File_Intake'!BZ25)</f>
        <v/>
      </c>
      <c r="CR25" s="57">
        <f>IF('Pasted_Exports'!CA25&lt;&gt;"",'Pasted_Exports'!CA25,'File_Intake'!CA25)</f>
        <v/>
      </c>
      <c r="CS25" s="58">
        <f>IF('Pasted_Exports'!CB25&lt;&gt;"",'Pasted_Exports'!CB25,'File_Intake'!CB25)</f>
        <v/>
      </c>
      <c r="CT25" s="59">
        <f>IF('Pasted_Exports'!CC25&lt;&gt;"",'Pasted_Exports'!CC25,'File_Intake'!CC25)</f>
        <v/>
      </c>
      <c r="CU25">
        <f>IF('Pasted_Exports'!CD25&lt;&gt;"",'Pasted_Exports'!CD25,'File_Intake'!CD25)</f>
        <v/>
      </c>
      <c r="CV25">
        <f>IF('Pasted_Exports'!CE25&lt;&gt;"",'Pasted_Exports'!CE25,'File_Intake'!CE25)</f>
        <v/>
      </c>
      <c r="CW25" s="60">
        <f>IF('Pasted_Exports'!CF25&lt;&gt;"",'Pasted_Exports'!CF25,'File_Intake'!CF25)</f>
        <v/>
      </c>
      <c r="CX25" s="60">
        <f>IF('Pasted_Exports'!CG25&lt;&gt;"",'Pasted_Exports'!CG25,'File_Intake'!CG25)</f>
        <v/>
      </c>
      <c r="CY25">
        <f>IF('Pasted_Exports'!CH25&lt;&gt;"",'Pasted_Exports'!CH25,'File_Intake'!CH25)</f>
        <v/>
      </c>
    </row>
    <row r="26">
      <c r="A26" s="24">
        <f>IF('Pasted_Exports'!A26&lt;&gt;"",'Pasted_Exports'!A26,'File_Intake'!A26)</f>
        <v/>
      </c>
      <c r="B26" s="24">
        <f>IF('Pasted_Exports'!B26&lt;&gt;"",'Pasted_Exports'!B26,'File_Intake'!B26)</f>
        <v/>
      </c>
      <c r="C26" s="24">
        <f>IF('Pasted_Exports'!C26&lt;&gt;"",'Pasted_Exports'!C26,'File_Intake'!C26)</f>
        <v/>
      </c>
      <c r="D26" s="24">
        <f>IF('Pasted_Exports'!D26&lt;&gt;"",'Pasted_Exports'!D26,'File_Intake'!D26)</f>
        <v/>
      </c>
      <c r="E26" s="55">
        <f>IF('Pasted_Exports'!E26&lt;&gt;"",'Pasted_Exports'!E26,'File_Intake'!E26)</f>
        <v/>
      </c>
      <c r="F26" s="26">
        <f>IF('Pasted_Exports'!F26&lt;&gt;"",'Pasted_Exports'!F26,'File_Intake'!F26)</f>
        <v/>
      </c>
      <c r="G26" s="26">
        <f>IF('Pasted_Exports'!G26&lt;&gt;"",'Pasted_Exports'!G26,'File_Intake'!G26)</f>
        <v/>
      </c>
      <c r="H26" s="47">
        <f>IF('Pasted_Exports'!H26&lt;&gt;"",'Pasted_Exports'!H26,'File_Intake'!H26)</f>
        <v/>
      </c>
      <c r="I26" s="26">
        <f>IF('Pasted_Exports'!I26&lt;&gt;"",'Pasted_Exports'!I26,'File_Intake'!I26)</f>
        <v/>
      </c>
      <c r="J26" s="26">
        <f>IF('Pasted_Exports'!J26&lt;&gt;"",'Pasted_Exports'!J26,'File_Intake'!J26)</f>
        <v/>
      </c>
      <c r="K26" s="47">
        <f>IF('Pasted_Exports'!K26&lt;&gt;"",'Pasted_Exports'!K26,'File_Intake'!K26)</f>
        <v/>
      </c>
      <c r="L26" s="47">
        <f>IF('Pasted_Exports'!L26&lt;&gt;"",'Pasted_Exports'!L26,'File_Intake'!L26)</f>
        <v/>
      </c>
      <c r="M26" s="47">
        <f>IF('Pasted_Exports'!M26&lt;&gt;"",'Pasted_Exports'!M26,'File_Intake'!M26)</f>
        <v/>
      </c>
      <c r="N26" s="47">
        <f>IF('Pasted_Exports'!N26&lt;&gt;"",'Pasted_Exports'!N26,'File_Intake'!N26)</f>
        <v/>
      </c>
      <c r="O26" s="47">
        <f>IF('Pasted_Exports'!O26&lt;&gt;"",'Pasted_Exports'!O26,'File_Intake'!O26)</f>
        <v/>
      </c>
      <c r="P26" s="27">
        <f>IF('Pasted_Exports'!P26&lt;&gt;"",'Pasted_Exports'!P26,'File_Intake'!P26)</f>
        <v/>
      </c>
      <c r="Q26" s="27">
        <f>IF('Pasted_Exports'!Q26&lt;&gt;"",'Pasted_Exports'!Q26,'File_Intake'!Q26)</f>
        <v/>
      </c>
      <c r="R26" s="27">
        <f>IF('Pasted_Exports'!R26&lt;&gt;"",'Pasted_Exports'!R26,'File_Intake'!R26)</f>
        <v/>
      </c>
      <c r="S26" s="56">
        <f>IF('Pasted_Exports'!S26&lt;&gt;"",'Pasted_Exports'!S26,'File_Intake'!S26)</f>
        <v/>
      </c>
      <c r="T26" s="56">
        <f>IF('Pasted_Exports'!T26&lt;&gt;"",'Pasted_Exports'!T26,'File_Intake'!T26)</f>
        <v/>
      </c>
      <c r="U26" s="56">
        <f>IF('Pasted_Exports'!U26&lt;&gt;"",'Pasted_Exports'!U26,'File_Intake'!U26)</f>
        <v/>
      </c>
      <c r="V26" s="56">
        <f>IF('Pasted_Exports'!V26&lt;&gt;"",'Pasted_Exports'!V26,'File_Intake'!V26)</f>
        <v/>
      </c>
      <c r="W26" s="56">
        <f>IF('Pasted_Exports'!W26&lt;&gt;"",'Pasted_Exports'!W26,'File_Intake'!W26)</f>
        <v/>
      </c>
      <c r="X26" s="56">
        <f>IF('Pasted_Exports'!X26&lt;&gt;"",'Pasted_Exports'!X26,'File_Intake'!X26)</f>
        <v/>
      </c>
      <c r="Y26" s="56">
        <f>IF('Pasted_Exports'!Y26&lt;&gt;"",'Pasted_Exports'!Y26,'File_Intake'!Y26)</f>
        <v/>
      </c>
      <c r="Z26" s="56">
        <f>IF('Pasted_Exports'!Z26&lt;&gt;"",'Pasted_Exports'!Z26,'File_Intake'!Z26)</f>
        <v/>
      </c>
      <c r="AA26" s="56">
        <f>IF('Pasted_Exports'!AA26&lt;&gt;"",'Pasted_Exports'!AA26,'File_Intake'!AA26)</f>
        <v/>
      </c>
      <c r="AB26" s="56">
        <f>IF('Pasted_Exports'!AB26&lt;&gt;"",'Pasted_Exports'!AB26,'File_Intake'!AB26)</f>
        <v/>
      </c>
      <c r="AC26" s="56">
        <f>IF('Pasted_Exports'!AC26&lt;&gt;"",'Pasted_Exports'!AC26,'File_Intake'!AC26)</f>
        <v/>
      </c>
      <c r="AD26" s="56">
        <f>IF('Pasted_Exports'!AD26&lt;&gt;"",'Pasted_Exports'!AD26,'File_Intake'!AD26)</f>
        <v/>
      </c>
      <c r="AE26" s="56">
        <f>IF('Pasted_Exports'!AE26&lt;&gt;"",'Pasted_Exports'!AE26,'File_Intake'!AE26)</f>
        <v/>
      </c>
      <c r="AF26" s="56">
        <f>IF('Pasted_Exports'!AF26&lt;&gt;"",'Pasted_Exports'!AF26,'File_Intake'!AF26)</f>
        <v/>
      </c>
      <c r="AG26" s="56">
        <f>IF('Pasted_Exports'!AG26&lt;&gt;"",'Pasted_Exports'!AG26,'File_Intake'!AG26)</f>
        <v/>
      </c>
      <c r="AH26" s="27">
        <f>IF('Pasted_Exports'!AH26&lt;&gt;"",'Pasted_Exports'!AH26,'File_Intake'!AH26)</f>
        <v/>
      </c>
      <c r="AI26" s="27">
        <f>IF('Pasted_Exports'!AI26&lt;&gt;"",'Pasted_Exports'!AI26,'File_Intake'!AI26)</f>
        <v/>
      </c>
      <c r="AJ26" s="27">
        <f>IF('Pasted_Exports'!AJ26&lt;&gt;"",'Pasted_Exports'!AJ26,'File_Intake'!AJ26)</f>
        <v/>
      </c>
      <c r="AK26" s="27">
        <f>IF('Pasted_Exports'!AK26&lt;&gt;"",'Pasted_Exports'!AK26,'File_Intake'!AK26)</f>
        <v/>
      </c>
      <c r="AL26" s="27">
        <f>IF('Pasted_Exports'!AL26&lt;&gt;"",'Pasted_Exports'!AL26,'File_Intake'!AL26)</f>
        <v/>
      </c>
      <c r="AM26" s="27">
        <f>IF('Pasted_Exports'!AM26&lt;&gt;"",'Pasted_Exports'!AM26,'File_Intake'!AM26)</f>
        <v/>
      </c>
      <c r="AN26" s="27">
        <f>IF('Pasted_Exports'!AN26&lt;&gt;"",'Pasted_Exports'!AN26,'File_Intake'!AN26)</f>
        <v/>
      </c>
      <c r="AO26" s="27">
        <f>IF('Pasted_Exports'!AO26&lt;&gt;"",'Pasted_Exports'!AO26,'File_Intake'!AO26)</f>
        <v/>
      </c>
      <c r="AP26" s="27">
        <f>IF('Pasted_Exports'!AP26&lt;&gt;"",'Pasted_Exports'!AP26,'File_Intake'!AP26)</f>
        <v/>
      </c>
      <c r="AQ26" s="27">
        <f>IF('Pasted_Exports'!AQ26&lt;&gt;"",'Pasted_Exports'!AQ26,'File_Intake'!AQ26)</f>
        <v/>
      </c>
      <c r="AR26" s="27">
        <f>IF('Pasted_Exports'!AR26&lt;&gt;"",'Pasted_Exports'!AR26,'File_Intake'!AR26)</f>
        <v/>
      </c>
      <c r="AS26" s="27">
        <f>IF('Pasted_Exports'!AS26&lt;&gt;"",'Pasted_Exports'!AS26,'File_Intake'!AS26)</f>
        <v/>
      </c>
      <c r="AT26" s="47">
        <f>IF('Pasted_Exports'!AT26&lt;&gt;"",'Pasted_Exports'!AT26,'File_Intake'!AT26)</f>
        <v/>
      </c>
      <c r="AU26" s="47">
        <f>IF('Pasted_Exports'!AU26&lt;&gt;"",'Pasted_Exports'!AU26,'File_Intake'!AU26)</f>
        <v/>
      </c>
      <c r="AV26" s="47">
        <f>IF('Pasted_Exports'!AV26&lt;&gt;"",'Pasted_Exports'!AV26,'File_Intake'!AV26)</f>
        <v/>
      </c>
      <c r="AW26" s="56">
        <f>IF('Pasted_Exports'!AW26&lt;&gt;"",'Pasted_Exports'!AW26,'File_Intake'!AW26)</f>
        <v/>
      </c>
      <c r="AX26" s="56">
        <f>IF('Pasted_Exports'!AX26&lt;&gt;"",'Pasted_Exports'!AX26,'File_Intake'!AX26)</f>
        <v/>
      </c>
      <c r="AY26" s="56">
        <f>IF('Pasted_Exports'!AY26&lt;&gt;"",'Pasted_Exports'!AY26,'File_Intake'!AY26)</f>
        <v/>
      </c>
      <c r="AZ26" s="47">
        <f>IF('Pasted_Exports'!AZ26&lt;&gt;"",'Pasted_Exports'!AZ26,'File_Intake'!AZ26)</f>
        <v/>
      </c>
      <c r="BA26" s="47">
        <f>IF('Pasted_Exports'!BA26&lt;&gt;"",'Pasted_Exports'!BA26,'File_Intake'!BA26)</f>
        <v/>
      </c>
      <c r="BB26" s="47">
        <f>IF('Pasted_Exports'!BB26&lt;&gt;"",'Pasted_Exports'!BB26,'File_Intake'!BB26)</f>
        <v/>
      </c>
      <c r="BC26" s="27">
        <f>IF('Pasted_Exports'!BC26&lt;&gt;"",'Pasted_Exports'!BC26,'File_Intake'!BC26)</f>
        <v/>
      </c>
      <c r="BD26" s="27">
        <f>IF('Pasted_Exports'!BD26&lt;&gt;"",'Pasted_Exports'!BD26,'File_Intake'!BD26)</f>
        <v/>
      </c>
      <c r="BE26" s="27">
        <f>IF('Pasted_Exports'!BE26&lt;&gt;"",'Pasted_Exports'!BE26,'File_Intake'!BE26)</f>
        <v/>
      </c>
      <c r="BF26" s="47">
        <f>IF('Pasted_Exports'!BF26&lt;&gt;"",'Pasted_Exports'!BF26,'File_Intake'!BF26)</f>
        <v/>
      </c>
      <c r="BG26" s="47">
        <f>IF('Pasted_Exports'!BG26&lt;&gt;"",'Pasted_Exports'!BG26,'File_Intake'!BG26)</f>
        <v/>
      </c>
      <c r="BH26" s="47">
        <f>IF('Pasted_Exports'!BH26&lt;&gt;"",'Pasted_Exports'!BH26,'File_Intake'!BH26)</f>
        <v/>
      </c>
      <c r="BI26" s="47">
        <f>IF('Pasted_Exports'!BI26&lt;&gt;"",'Pasted_Exports'!BI26,'File_Intake'!BI26)</f>
        <v/>
      </c>
      <c r="BJ26" s="47">
        <f>IF('Pasted_Exports'!BJ26&lt;&gt;"",'Pasted_Exports'!BJ26,'File_Intake'!BJ26)</f>
        <v/>
      </c>
      <c r="BK26" s="47">
        <f>IF('Pasted_Exports'!BK26&lt;&gt;"",'Pasted_Exports'!BK26,'File_Intake'!BK26)</f>
        <v/>
      </c>
      <c r="BL26" s="47">
        <f>IF('Pasted_Exports'!BL26&lt;&gt;"",'Pasted_Exports'!BL26,'File_Intake'!BL26)</f>
        <v/>
      </c>
      <c r="BM26" s="47">
        <f>IF('Pasted_Exports'!BM26&lt;&gt;"",'Pasted_Exports'!BM26,'File_Intake'!BM26)</f>
        <v/>
      </c>
      <c r="BN26" s="47">
        <f>IF('Pasted_Exports'!BN26&lt;&gt;"",'Pasted_Exports'!BN26,'File_Intake'!BN26)</f>
        <v/>
      </c>
      <c r="BO26" s="47">
        <f>IF('Pasted_Exports'!BO26&lt;&gt;"",'Pasted_Exports'!BO26,'File_Intake'!BO26)</f>
        <v/>
      </c>
      <c r="BP26" s="47">
        <f>IF('Pasted_Exports'!BP26&lt;&gt;"",'Pasted_Exports'!BP26,'File_Intake'!BP26)</f>
        <v/>
      </c>
      <c r="BQ26" s="47">
        <f>IF('Pasted_Exports'!BQ26&lt;&gt;"",'Pasted_Exports'!BQ26,'File_Intake'!BQ26)</f>
        <v/>
      </c>
      <c r="BR26" s="47">
        <f>IF('Pasted_Exports'!BR26&lt;&gt;"",'Pasted_Exports'!BR26,'File_Intake'!BR26)</f>
        <v/>
      </c>
      <c r="BS26" s="47">
        <f>IF('Pasted_Exports'!BS26&lt;&gt;"",'Pasted_Exports'!BS26,'File_Intake'!BS26)</f>
        <v/>
      </c>
      <c r="BT26" s="47">
        <f>IF('Pasted_Exports'!BT26&lt;&gt;"",'Pasted_Exports'!BT26,'File_Intake'!BT26)</f>
        <v/>
      </c>
      <c r="BU26" s="47">
        <f>IF('Pasted_Exports'!BU26&lt;&gt;"",'Pasted_Exports'!BU26,'File_Intake'!BU26)</f>
        <v/>
      </c>
      <c r="BV26" s="47">
        <f>IF('Pasted_Exports'!BV26&lt;&gt;"",'Pasted_Exports'!BV26,'File_Intake'!BV26)</f>
        <v/>
      </c>
      <c r="BW26" s="47">
        <f>IF('Pasted_Exports'!BW26&lt;&gt;"",'Pasted_Exports'!BW26,'File_Intake'!BW26)</f>
        <v/>
      </c>
      <c r="BX26" s="29">
        <f>IF(AND($A26&lt;&gt;"",$B26&lt;&gt;"",$K26&gt;='Study_Setup'!$B$14,$L26&gt;='Study_Setup'!$B$15),1,0)</f>
        <v/>
      </c>
      <c r="BY26" s="30">
        <f>IF($A26="","",TEXTJOIN("; ",TRUE,IF($B26="","Missing arm",""),IF($K26&lt;'Study_Setup'!$B$14,"Low off-days",""),IF($L26&lt;'Study_Setup'!$B$15,"Low on-days",""),IF($AM26&gt;'Study_Setup'!$B$19,"Hypo burden increased","")))</f>
        <v/>
      </c>
      <c r="BZ26" s="61">
        <f>IFERROR($M26-$N26,"")</f>
        <v/>
      </c>
      <c r="CA26" s="62">
        <f>IFERROR(($M26-$N26)/$M26,"")</f>
        <v/>
      </c>
      <c r="CB26" s="33">
        <f>IFERROR($P26-$Q26,"")</f>
        <v/>
      </c>
      <c r="CC26" s="63">
        <f>IFERROR($T26-$S26,"")</f>
        <v/>
      </c>
      <c r="CD26" s="33">
        <f>IFERROR($AH26-$AI26,"")</f>
        <v/>
      </c>
      <c r="CE26" s="62">
        <f>IFERROR(($AH26-$AI26)/$AH26,"")</f>
        <v/>
      </c>
      <c r="CF26" s="33">
        <f>IFERROR($AQ26-$AR26,"")</f>
        <v/>
      </c>
      <c r="CG26" s="61">
        <f>IFERROR($BO26-$BP26,"")</f>
        <v/>
      </c>
      <c r="CH26" s="61">
        <f>IFERROR($BI26-$BJ26,"")</f>
        <v/>
      </c>
      <c r="CI26" s="61">
        <f>IFERROR($BL26-$BM26,"")</f>
        <v/>
      </c>
      <c r="CJ26" s="61">
        <f>IFERROR($BF26-$BG26,"")</f>
        <v/>
      </c>
      <c r="CK26" s="33">
        <f>IFERROR($BC26-$BD26,"")</f>
        <v/>
      </c>
      <c r="CL26" s="29">
        <f>IF($A26="","",IF($AM26&lt;='Study_Setup'!$B$19,1,0))</f>
        <v/>
      </c>
      <c r="CM26" s="29">
        <f>IF($A26="","",IF(AND($BZ26&gt;='Study_Setup'!$B$16,$CC26&gt;='Study_Setup'!$B$17,$CE26&gt;='Study_Setup'!$B$18,$CL26=1),1,0))</f>
        <v/>
      </c>
      <c r="CN26" s="61">
        <f>IFERROR(40*MIN(1,$BZ26/'Study_Setup'!$B$16)+25*MIN(1,$CC26/'Study_Setup'!$B$17)+25*MIN(1,$CE26/'Study_Setup'!$B$18)+10*$CL26,"")</f>
        <v/>
      </c>
      <c r="CO26">
        <f>IF('Pasted_Exports'!BX26&lt;&gt;"",'Pasted_Exports'!BX26,'File_Intake'!BX26)</f>
        <v/>
      </c>
      <c r="CP26" s="57">
        <f>IF('Pasted_Exports'!BY26&lt;&gt;"",'Pasted_Exports'!BY26,'File_Intake'!BY26)</f>
        <v/>
      </c>
      <c r="CQ26" s="57">
        <f>IF('Pasted_Exports'!BZ26&lt;&gt;"",'Pasted_Exports'!BZ26,'File_Intake'!BZ26)</f>
        <v/>
      </c>
      <c r="CR26" s="57">
        <f>IF('Pasted_Exports'!CA26&lt;&gt;"",'Pasted_Exports'!CA26,'File_Intake'!CA26)</f>
        <v/>
      </c>
      <c r="CS26" s="58">
        <f>IF('Pasted_Exports'!CB26&lt;&gt;"",'Pasted_Exports'!CB26,'File_Intake'!CB26)</f>
        <v/>
      </c>
      <c r="CT26" s="59">
        <f>IF('Pasted_Exports'!CC26&lt;&gt;"",'Pasted_Exports'!CC26,'File_Intake'!CC26)</f>
        <v/>
      </c>
      <c r="CU26">
        <f>IF('Pasted_Exports'!CD26&lt;&gt;"",'Pasted_Exports'!CD26,'File_Intake'!CD26)</f>
        <v/>
      </c>
      <c r="CV26">
        <f>IF('Pasted_Exports'!CE26&lt;&gt;"",'Pasted_Exports'!CE26,'File_Intake'!CE26)</f>
        <v/>
      </c>
      <c r="CW26" s="60">
        <f>IF('Pasted_Exports'!CF26&lt;&gt;"",'Pasted_Exports'!CF26,'File_Intake'!CF26)</f>
        <v/>
      </c>
      <c r="CX26" s="60">
        <f>IF('Pasted_Exports'!CG26&lt;&gt;"",'Pasted_Exports'!CG26,'File_Intake'!CG26)</f>
        <v/>
      </c>
      <c r="CY26">
        <f>IF('Pasted_Exports'!CH26&lt;&gt;"",'Pasted_Exports'!CH26,'File_Intake'!CH26)</f>
        <v/>
      </c>
    </row>
    <row r="27">
      <c r="A27" s="24">
        <f>IF('Pasted_Exports'!A27&lt;&gt;"",'Pasted_Exports'!A27,'File_Intake'!A27)</f>
        <v/>
      </c>
      <c r="B27" s="24">
        <f>IF('Pasted_Exports'!B27&lt;&gt;"",'Pasted_Exports'!B27,'File_Intake'!B27)</f>
        <v/>
      </c>
      <c r="C27" s="24">
        <f>IF('Pasted_Exports'!C27&lt;&gt;"",'Pasted_Exports'!C27,'File_Intake'!C27)</f>
        <v/>
      </c>
      <c r="D27" s="24">
        <f>IF('Pasted_Exports'!D27&lt;&gt;"",'Pasted_Exports'!D27,'File_Intake'!D27)</f>
        <v/>
      </c>
      <c r="E27" s="55">
        <f>IF('Pasted_Exports'!E27&lt;&gt;"",'Pasted_Exports'!E27,'File_Intake'!E27)</f>
        <v/>
      </c>
      <c r="F27" s="26">
        <f>IF('Pasted_Exports'!F27&lt;&gt;"",'Pasted_Exports'!F27,'File_Intake'!F27)</f>
        <v/>
      </c>
      <c r="G27" s="26">
        <f>IF('Pasted_Exports'!G27&lt;&gt;"",'Pasted_Exports'!G27,'File_Intake'!G27)</f>
        <v/>
      </c>
      <c r="H27" s="47">
        <f>IF('Pasted_Exports'!H27&lt;&gt;"",'Pasted_Exports'!H27,'File_Intake'!H27)</f>
        <v/>
      </c>
      <c r="I27" s="26">
        <f>IF('Pasted_Exports'!I27&lt;&gt;"",'Pasted_Exports'!I27,'File_Intake'!I27)</f>
        <v/>
      </c>
      <c r="J27" s="26">
        <f>IF('Pasted_Exports'!J27&lt;&gt;"",'Pasted_Exports'!J27,'File_Intake'!J27)</f>
        <v/>
      </c>
      <c r="K27" s="47">
        <f>IF('Pasted_Exports'!K27&lt;&gt;"",'Pasted_Exports'!K27,'File_Intake'!K27)</f>
        <v/>
      </c>
      <c r="L27" s="47">
        <f>IF('Pasted_Exports'!L27&lt;&gt;"",'Pasted_Exports'!L27,'File_Intake'!L27)</f>
        <v/>
      </c>
      <c r="M27" s="47">
        <f>IF('Pasted_Exports'!M27&lt;&gt;"",'Pasted_Exports'!M27,'File_Intake'!M27)</f>
        <v/>
      </c>
      <c r="N27" s="47">
        <f>IF('Pasted_Exports'!N27&lt;&gt;"",'Pasted_Exports'!N27,'File_Intake'!N27)</f>
        <v/>
      </c>
      <c r="O27" s="47">
        <f>IF('Pasted_Exports'!O27&lt;&gt;"",'Pasted_Exports'!O27,'File_Intake'!O27)</f>
        <v/>
      </c>
      <c r="P27" s="27">
        <f>IF('Pasted_Exports'!P27&lt;&gt;"",'Pasted_Exports'!P27,'File_Intake'!P27)</f>
        <v/>
      </c>
      <c r="Q27" s="27">
        <f>IF('Pasted_Exports'!Q27&lt;&gt;"",'Pasted_Exports'!Q27,'File_Intake'!Q27)</f>
        <v/>
      </c>
      <c r="R27" s="27">
        <f>IF('Pasted_Exports'!R27&lt;&gt;"",'Pasted_Exports'!R27,'File_Intake'!R27)</f>
        <v/>
      </c>
      <c r="S27" s="56">
        <f>IF('Pasted_Exports'!S27&lt;&gt;"",'Pasted_Exports'!S27,'File_Intake'!S27)</f>
        <v/>
      </c>
      <c r="T27" s="56">
        <f>IF('Pasted_Exports'!T27&lt;&gt;"",'Pasted_Exports'!T27,'File_Intake'!T27)</f>
        <v/>
      </c>
      <c r="U27" s="56">
        <f>IF('Pasted_Exports'!U27&lt;&gt;"",'Pasted_Exports'!U27,'File_Intake'!U27)</f>
        <v/>
      </c>
      <c r="V27" s="56">
        <f>IF('Pasted_Exports'!V27&lt;&gt;"",'Pasted_Exports'!V27,'File_Intake'!V27)</f>
        <v/>
      </c>
      <c r="W27" s="56">
        <f>IF('Pasted_Exports'!W27&lt;&gt;"",'Pasted_Exports'!W27,'File_Intake'!W27)</f>
        <v/>
      </c>
      <c r="X27" s="56">
        <f>IF('Pasted_Exports'!X27&lt;&gt;"",'Pasted_Exports'!X27,'File_Intake'!X27)</f>
        <v/>
      </c>
      <c r="Y27" s="56">
        <f>IF('Pasted_Exports'!Y27&lt;&gt;"",'Pasted_Exports'!Y27,'File_Intake'!Y27)</f>
        <v/>
      </c>
      <c r="Z27" s="56">
        <f>IF('Pasted_Exports'!Z27&lt;&gt;"",'Pasted_Exports'!Z27,'File_Intake'!Z27)</f>
        <v/>
      </c>
      <c r="AA27" s="56">
        <f>IF('Pasted_Exports'!AA27&lt;&gt;"",'Pasted_Exports'!AA27,'File_Intake'!AA27)</f>
        <v/>
      </c>
      <c r="AB27" s="56">
        <f>IF('Pasted_Exports'!AB27&lt;&gt;"",'Pasted_Exports'!AB27,'File_Intake'!AB27)</f>
        <v/>
      </c>
      <c r="AC27" s="56">
        <f>IF('Pasted_Exports'!AC27&lt;&gt;"",'Pasted_Exports'!AC27,'File_Intake'!AC27)</f>
        <v/>
      </c>
      <c r="AD27" s="56">
        <f>IF('Pasted_Exports'!AD27&lt;&gt;"",'Pasted_Exports'!AD27,'File_Intake'!AD27)</f>
        <v/>
      </c>
      <c r="AE27" s="56">
        <f>IF('Pasted_Exports'!AE27&lt;&gt;"",'Pasted_Exports'!AE27,'File_Intake'!AE27)</f>
        <v/>
      </c>
      <c r="AF27" s="56">
        <f>IF('Pasted_Exports'!AF27&lt;&gt;"",'Pasted_Exports'!AF27,'File_Intake'!AF27)</f>
        <v/>
      </c>
      <c r="AG27" s="56">
        <f>IF('Pasted_Exports'!AG27&lt;&gt;"",'Pasted_Exports'!AG27,'File_Intake'!AG27)</f>
        <v/>
      </c>
      <c r="AH27" s="27">
        <f>IF('Pasted_Exports'!AH27&lt;&gt;"",'Pasted_Exports'!AH27,'File_Intake'!AH27)</f>
        <v/>
      </c>
      <c r="AI27" s="27">
        <f>IF('Pasted_Exports'!AI27&lt;&gt;"",'Pasted_Exports'!AI27,'File_Intake'!AI27)</f>
        <v/>
      </c>
      <c r="AJ27" s="27">
        <f>IF('Pasted_Exports'!AJ27&lt;&gt;"",'Pasted_Exports'!AJ27,'File_Intake'!AJ27)</f>
        <v/>
      </c>
      <c r="AK27" s="27">
        <f>IF('Pasted_Exports'!AK27&lt;&gt;"",'Pasted_Exports'!AK27,'File_Intake'!AK27)</f>
        <v/>
      </c>
      <c r="AL27" s="27">
        <f>IF('Pasted_Exports'!AL27&lt;&gt;"",'Pasted_Exports'!AL27,'File_Intake'!AL27)</f>
        <v/>
      </c>
      <c r="AM27" s="27">
        <f>IF('Pasted_Exports'!AM27&lt;&gt;"",'Pasted_Exports'!AM27,'File_Intake'!AM27)</f>
        <v/>
      </c>
      <c r="AN27" s="27">
        <f>IF('Pasted_Exports'!AN27&lt;&gt;"",'Pasted_Exports'!AN27,'File_Intake'!AN27)</f>
        <v/>
      </c>
      <c r="AO27" s="27">
        <f>IF('Pasted_Exports'!AO27&lt;&gt;"",'Pasted_Exports'!AO27,'File_Intake'!AO27)</f>
        <v/>
      </c>
      <c r="AP27" s="27">
        <f>IF('Pasted_Exports'!AP27&lt;&gt;"",'Pasted_Exports'!AP27,'File_Intake'!AP27)</f>
        <v/>
      </c>
      <c r="AQ27" s="27">
        <f>IF('Pasted_Exports'!AQ27&lt;&gt;"",'Pasted_Exports'!AQ27,'File_Intake'!AQ27)</f>
        <v/>
      </c>
      <c r="AR27" s="27">
        <f>IF('Pasted_Exports'!AR27&lt;&gt;"",'Pasted_Exports'!AR27,'File_Intake'!AR27)</f>
        <v/>
      </c>
      <c r="AS27" s="27">
        <f>IF('Pasted_Exports'!AS27&lt;&gt;"",'Pasted_Exports'!AS27,'File_Intake'!AS27)</f>
        <v/>
      </c>
      <c r="AT27" s="47">
        <f>IF('Pasted_Exports'!AT27&lt;&gt;"",'Pasted_Exports'!AT27,'File_Intake'!AT27)</f>
        <v/>
      </c>
      <c r="AU27" s="47">
        <f>IF('Pasted_Exports'!AU27&lt;&gt;"",'Pasted_Exports'!AU27,'File_Intake'!AU27)</f>
        <v/>
      </c>
      <c r="AV27" s="47">
        <f>IF('Pasted_Exports'!AV27&lt;&gt;"",'Pasted_Exports'!AV27,'File_Intake'!AV27)</f>
        <v/>
      </c>
      <c r="AW27" s="56">
        <f>IF('Pasted_Exports'!AW27&lt;&gt;"",'Pasted_Exports'!AW27,'File_Intake'!AW27)</f>
        <v/>
      </c>
      <c r="AX27" s="56">
        <f>IF('Pasted_Exports'!AX27&lt;&gt;"",'Pasted_Exports'!AX27,'File_Intake'!AX27)</f>
        <v/>
      </c>
      <c r="AY27" s="56">
        <f>IF('Pasted_Exports'!AY27&lt;&gt;"",'Pasted_Exports'!AY27,'File_Intake'!AY27)</f>
        <v/>
      </c>
      <c r="AZ27" s="47">
        <f>IF('Pasted_Exports'!AZ27&lt;&gt;"",'Pasted_Exports'!AZ27,'File_Intake'!AZ27)</f>
        <v/>
      </c>
      <c r="BA27" s="47">
        <f>IF('Pasted_Exports'!BA27&lt;&gt;"",'Pasted_Exports'!BA27,'File_Intake'!BA27)</f>
        <v/>
      </c>
      <c r="BB27" s="47">
        <f>IF('Pasted_Exports'!BB27&lt;&gt;"",'Pasted_Exports'!BB27,'File_Intake'!BB27)</f>
        <v/>
      </c>
      <c r="BC27" s="27">
        <f>IF('Pasted_Exports'!BC27&lt;&gt;"",'Pasted_Exports'!BC27,'File_Intake'!BC27)</f>
        <v/>
      </c>
      <c r="BD27" s="27">
        <f>IF('Pasted_Exports'!BD27&lt;&gt;"",'Pasted_Exports'!BD27,'File_Intake'!BD27)</f>
        <v/>
      </c>
      <c r="BE27" s="27">
        <f>IF('Pasted_Exports'!BE27&lt;&gt;"",'Pasted_Exports'!BE27,'File_Intake'!BE27)</f>
        <v/>
      </c>
      <c r="BF27" s="47">
        <f>IF('Pasted_Exports'!BF27&lt;&gt;"",'Pasted_Exports'!BF27,'File_Intake'!BF27)</f>
        <v/>
      </c>
      <c r="BG27" s="47">
        <f>IF('Pasted_Exports'!BG27&lt;&gt;"",'Pasted_Exports'!BG27,'File_Intake'!BG27)</f>
        <v/>
      </c>
      <c r="BH27" s="47">
        <f>IF('Pasted_Exports'!BH27&lt;&gt;"",'Pasted_Exports'!BH27,'File_Intake'!BH27)</f>
        <v/>
      </c>
      <c r="BI27" s="47">
        <f>IF('Pasted_Exports'!BI27&lt;&gt;"",'Pasted_Exports'!BI27,'File_Intake'!BI27)</f>
        <v/>
      </c>
      <c r="BJ27" s="47">
        <f>IF('Pasted_Exports'!BJ27&lt;&gt;"",'Pasted_Exports'!BJ27,'File_Intake'!BJ27)</f>
        <v/>
      </c>
      <c r="BK27" s="47">
        <f>IF('Pasted_Exports'!BK27&lt;&gt;"",'Pasted_Exports'!BK27,'File_Intake'!BK27)</f>
        <v/>
      </c>
      <c r="BL27" s="47">
        <f>IF('Pasted_Exports'!BL27&lt;&gt;"",'Pasted_Exports'!BL27,'File_Intake'!BL27)</f>
        <v/>
      </c>
      <c r="BM27" s="47">
        <f>IF('Pasted_Exports'!BM27&lt;&gt;"",'Pasted_Exports'!BM27,'File_Intake'!BM27)</f>
        <v/>
      </c>
      <c r="BN27" s="47">
        <f>IF('Pasted_Exports'!BN27&lt;&gt;"",'Pasted_Exports'!BN27,'File_Intake'!BN27)</f>
        <v/>
      </c>
      <c r="BO27" s="47">
        <f>IF('Pasted_Exports'!BO27&lt;&gt;"",'Pasted_Exports'!BO27,'File_Intake'!BO27)</f>
        <v/>
      </c>
      <c r="BP27" s="47">
        <f>IF('Pasted_Exports'!BP27&lt;&gt;"",'Pasted_Exports'!BP27,'File_Intake'!BP27)</f>
        <v/>
      </c>
      <c r="BQ27" s="47">
        <f>IF('Pasted_Exports'!BQ27&lt;&gt;"",'Pasted_Exports'!BQ27,'File_Intake'!BQ27)</f>
        <v/>
      </c>
      <c r="BR27" s="47">
        <f>IF('Pasted_Exports'!BR27&lt;&gt;"",'Pasted_Exports'!BR27,'File_Intake'!BR27)</f>
        <v/>
      </c>
      <c r="BS27" s="47">
        <f>IF('Pasted_Exports'!BS27&lt;&gt;"",'Pasted_Exports'!BS27,'File_Intake'!BS27)</f>
        <v/>
      </c>
      <c r="BT27" s="47">
        <f>IF('Pasted_Exports'!BT27&lt;&gt;"",'Pasted_Exports'!BT27,'File_Intake'!BT27)</f>
        <v/>
      </c>
      <c r="BU27" s="47">
        <f>IF('Pasted_Exports'!BU27&lt;&gt;"",'Pasted_Exports'!BU27,'File_Intake'!BU27)</f>
        <v/>
      </c>
      <c r="BV27" s="47">
        <f>IF('Pasted_Exports'!BV27&lt;&gt;"",'Pasted_Exports'!BV27,'File_Intake'!BV27)</f>
        <v/>
      </c>
      <c r="BW27" s="47">
        <f>IF('Pasted_Exports'!BW27&lt;&gt;"",'Pasted_Exports'!BW27,'File_Intake'!BW27)</f>
        <v/>
      </c>
      <c r="BX27" s="29">
        <f>IF(AND($A27&lt;&gt;"",$B27&lt;&gt;"",$K27&gt;='Study_Setup'!$B$14,$L27&gt;='Study_Setup'!$B$15),1,0)</f>
        <v/>
      </c>
      <c r="BY27" s="30">
        <f>IF($A27="","",TEXTJOIN("; ",TRUE,IF($B27="","Missing arm",""),IF($K27&lt;'Study_Setup'!$B$14,"Low off-days",""),IF($L27&lt;'Study_Setup'!$B$15,"Low on-days",""),IF($AM27&gt;'Study_Setup'!$B$19,"Hypo burden increased","")))</f>
        <v/>
      </c>
      <c r="BZ27" s="61">
        <f>IFERROR($M27-$N27,"")</f>
        <v/>
      </c>
      <c r="CA27" s="62">
        <f>IFERROR(($M27-$N27)/$M27,"")</f>
        <v/>
      </c>
      <c r="CB27" s="33">
        <f>IFERROR($P27-$Q27,"")</f>
        <v/>
      </c>
      <c r="CC27" s="63">
        <f>IFERROR($T27-$S27,"")</f>
        <v/>
      </c>
      <c r="CD27" s="33">
        <f>IFERROR($AH27-$AI27,"")</f>
        <v/>
      </c>
      <c r="CE27" s="62">
        <f>IFERROR(($AH27-$AI27)/$AH27,"")</f>
        <v/>
      </c>
      <c r="CF27" s="33">
        <f>IFERROR($AQ27-$AR27,"")</f>
        <v/>
      </c>
      <c r="CG27" s="61">
        <f>IFERROR($BO27-$BP27,"")</f>
        <v/>
      </c>
      <c r="CH27" s="61">
        <f>IFERROR($BI27-$BJ27,"")</f>
        <v/>
      </c>
      <c r="CI27" s="61">
        <f>IFERROR($BL27-$BM27,"")</f>
        <v/>
      </c>
      <c r="CJ27" s="61">
        <f>IFERROR($BF27-$BG27,"")</f>
        <v/>
      </c>
      <c r="CK27" s="33">
        <f>IFERROR($BC27-$BD27,"")</f>
        <v/>
      </c>
      <c r="CL27" s="29">
        <f>IF($A27="","",IF($AM27&lt;='Study_Setup'!$B$19,1,0))</f>
        <v/>
      </c>
      <c r="CM27" s="29">
        <f>IF($A27="","",IF(AND($BZ27&gt;='Study_Setup'!$B$16,$CC27&gt;='Study_Setup'!$B$17,$CE27&gt;='Study_Setup'!$B$18,$CL27=1),1,0))</f>
        <v/>
      </c>
      <c r="CN27" s="61">
        <f>IFERROR(40*MIN(1,$BZ27/'Study_Setup'!$B$16)+25*MIN(1,$CC27/'Study_Setup'!$B$17)+25*MIN(1,$CE27/'Study_Setup'!$B$18)+10*$CL27,"")</f>
        <v/>
      </c>
      <c r="CO27">
        <f>IF('Pasted_Exports'!BX27&lt;&gt;"",'Pasted_Exports'!BX27,'File_Intake'!BX27)</f>
        <v/>
      </c>
      <c r="CP27" s="57">
        <f>IF('Pasted_Exports'!BY27&lt;&gt;"",'Pasted_Exports'!BY27,'File_Intake'!BY27)</f>
        <v/>
      </c>
      <c r="CQ27" s="57">
        <f>IF('Pasted_Exports'!BZ27&lt;&gt;"",'Pasted_Exports'!BZ27,'File_Intake'!BZ27)</f>
        <v/>
      </c>
      <c r="CR27" s="57">
        <f>IF('Pasted_Exports'!CA27&lt;&gt;"",'Pasted_Exports'!CA27,'File_Intake'!CA27)</f>
        <v/>
      </c>
      <c r="CS27" s="58">
        <f>IF('Pasted_Exports'!CB27&lt;&gt;"",'Pasted_Exports'!CB27,'File_Intake'!CB27)</f>
        <v/>
      </c>
      <c r="CT27" s="59">
        <f>IF('Pasted_Exports'!CC27&lt;&gt;"",'Pasted_Exports'!CC27,'File_Intake'!CC27)</f>
        <v/>
      </c>
      <c r="CU27">
        <f>IF('Pasted_Exports'!CD27&lt;&gt;"",'Pasted_Exports'!CD27,'File_Intake'!CD27)</f>
        <v/>
      </c>
      <c r="CV27">
        <f>IF('Pasted_Exports'!CE27&lt;&gt;"",'Pasted_Exports'!CE27,'File_Intake'!CE27)</f>
        <v/>
      </c>
      <c r="CW27" s="60">
        <f>IF('Pasted_Exports'!CF27&lt;&gt;"",'Pasted_Exports'!CF27,'File_Intake'!CF27)</f>
        <v/>
      </c>
      <c r="CX27" s="60">
        <f>IF('Pasted_Exports'!CG27&lt;&gt;"",'Pasted_Exports'!CG27,'File_Intake'!CG27)</f>
        <v/>
      </c>
      <c r="CY27">
        <f>IF('Pasted_Exports'!CH27&lt;&gt;"",'Pasted_Exports'!CH27,'File_Intake'!CH27)</f>
        <v/>
      </c>
    </row>
    <row r="28">
      <c r="A28" s="24">
        <f>IF('Pasted_Exports'!A28&lt;&gt;"",'Pasted_Exports'!A28,'File_Intake'!A28)</f>
        <v/>
      </c>
      <c r="B28" s="24">
        <f>IF('Pasted_Exports'!B28&lt;&gt;"",'Pasted_Exports'!B28,'File_Intake'!B28)</f>
        <v/>
      </c>
      <c r="C28" s="24">
        <f>IF('Pasted_Exports'!C28&lt;&gt;"",'Pasted_Exports'!C28,'File_Intake'!C28)</f>
        <v/>
      </c>
      <c r="D28" s="24">
        <f>IF('Pasted_Exports'!D28&lt;&gt;"",'Pasted_Exports'!D28,'File_Intake'!D28)</f>
        <v/>
      </c>
      <c r="E28" s="55">
        <f>IF('Pasted_Exports'!E28&lt;&gt;"",'Pasted_Exports'!E28,'File_Intake'!E28)</f>
        <v/>
      </c>
      <c r="F28" s="26">
        <f>IF('Pasted_Exports'!F28&lt;&gt;"",'Pasted_Exports'!F28,'File_Intake'!F28)</f>
        <v/>
      </c>
      <c r="G28" s="26">
        <f>IF('Pasted_Exports'!G28&lt;&gt;"",'Pasted_Exports'!G28,'File_Intake'!G28)</f>
        <v/>
      </c>
      <c r="H28" s="47">
        <f>IF('Pasted_Exports'!H28&lt;&gt;"",'Pasted_Exports'!H28,'File_Intake'!H28)</f>
        <v/>
      </c>
      <c r="I28" s="26">
        <f>IF('Pasted_Exports'!I28&lt;&gt;"",'Pasted_Exports'!I28,'File_Intake'!I28)</f>
        <v/>
      </c>
      <c r="J28" s="26">
        <f>IF('Pasted_Exports'!J28&lt;&gt;"",'Pasted_Exports'!J28,'File_Intake'!J28)</f>
        <v/>
      </c>
      <c r="K28" s="47">
        <f>IF('Pasted_Exports'!K28&lt;&gt;"",'Pasted_Exports'!K28,'File_Intake'!K28)</f>
        <v/>
      </c>
      <c r="L28" s="47">
        <f>IF('Pasted_Exports'!L28&lt;&gt;"",'Pasted_Exports'!L28,'File_Intake'!L28)</f>
        <v/>
      </c>
      <c r="M28" s="47">
        <f>IF('Pasted_Exports'!M28&lt;&gt;"",'Pasted_Exports'!M28,'File_Intake'!M28)</f>
        <v/>
      </c>
      <c r="N28" s="47">
        <f>IF('Pasted_Exports'!N28&lt;&gt;"",'Pasted_Exports'!N28,'File_Intake'!N28)</f>
        <v/>
      </c>
      <c r="O28" s="47">
        <f>IF('Pasted_Exports'!O28&lt;&gt;"",'Pasted_Exports'!O28,'File_Intake'!O28)</f>
        <v/>
      </c>
      <c r="P28" s="27">
        <f>IF('Pasted_Exports'!P28&lt;&gt;"",'Pasted_Exports'!P28,'File_Intake'!P28)</f>
        <v/>
      </c>
      <c r="Q28" s="27">
        <f>IF('Pasted_Exports'!Q28&lt;&gt;"",'Pasted_Exports'!Q28,'File_Intake'!Q28)</f>
        <v/>
      </c>
      <c r="R28" s="27">
        <f>IF('Pasted_Exports'!R28&lt;&gt;"",'Pasted_Exports'!R28,'File_Intake'!R28)</f>
        <v/>
      </c>
      <c r="S28" s="56">
        <f>IF('Pasted_Exports'!S28&lt;&gt;"",'Pasted_Exports'!S28,'File_Intake'!S28)</f>
        <v/>
      </c>
      <c r="T28" s="56">
        <f>IF('Pasted_Exports'!T28&lt;&gt;"",'Pasted_Exports'!T28,'File_Intake'!T28)</f>
        <v/>
      </c>
      <c r="U28" s="56">
        <f>IF('Pasted_Exports'!U28&lt;&gt;"",'Pasted_Exports'!U28,'File_Intake'!U28)</f>
        <v/>
      </c>
      <c r="V28" s="56">
        <f>IF('Pasted_Exports'!V28&lt;&gt;"",'Pasted_Exports'!V28,'File_Intake'!V28)</f>
        <v/>
      </c>
      <c r="W28" s="56">
        <f>IF('Pasted_Exports'!W28&lt;&gt;"",'Pasted_Exports'!W28,'File_Intake'!W28)</f>
        <v/>
      </c>
      <c r="X28" s="56">
        <f>IF('Pasted_Exports'!X28&lt;&gt;"",'Pasted_Exports'!X28,'File_Intake'!X28)</f>
        <v/>
      </c>
      <c r="Y28" s="56">
        <f>IF('Pasted_Exports'!Y28&lt;&gt;"",'Pasted_Exports'!Y28,'File_Intake'!Y28)</f>
        <v/>
      </c>
      <c r="Z28" s="56">
        <f>IF('Pasted_Exports'!Z28&lt;&gt;"",'Pasted_Exports'!Z28,'File_Intake'!Z28)</f>
        <v/>
      </c>
      <c r="AA28" s="56">
        <f>IF('Pasted_Exports'!AA28&lt;&gt;"",'Pasted_Exports'!AA28,'File_Intake'!AA28)</f>
        <v/>
      </c>
      <c r="AB28" s="56">
        <f>IF('Pasted_Exports'!AB28&lt;&gt;"",'Pasted_Exports'!AB28,'File_Intake'!AB28)</f>
        <v/>
      </c>
      <c r="AC28" s="56">
        <f>IF('Pasted_Exports'!AC28&lt;&gt;"",'Pasted_Exports'!AC28,'File_Intake'!AC28)</f>
        <v/>
      </c>
      <c r="AD28" s="56">
        <f>IF('Pasted_Exports'!AD28&lt;&gt;"",'Pasted_Exports'!AD28,'File_Intake'!AD28)</f>
        <v/>
      </c>
      <c r="AE28" s="56">
        <f>IF('Pasted_Exports'!AE28&lt;&gt;"",'Pasted_Exports'!AE28,'File_Intake'!AE28)</f>
        <v/>
      </c>
      <c r="AF28" s="56">
        <f>IF('Pasted_Exports'!AF28&lt;&gt;"",'Pasted_Exports'!AF28,'File_Intake'!AF28)</f>
        <v/>
      </c>
      <c r="AG28" s="56">
        <f>IF('Pasted_Exports'!AG28&lt;&gt;"",'Pasted_Exports'!AG28,'File_Intake'!AG28)</f>
        <v/>
      </c>
      <c r="AH28" s="27">
        <f>IF('Pasted_Exports'!AH28&lt;&gt;"",'Pasted_Exports'!AH28,'File_Intake'!AH28)</f>
        <v/>
      </c>
      <c r="AI28" s="27">
        <f>IF('Pasted_Exports'!AI28&lt;&gt;"",'Pasted_Exports'!AI28,'File_Intake'!AI28)</f>
        <v/>
      </c>
      <c r="AJ28" s="27">
        <f>IF('Pasted_Exports'!AJ28&lt;&gt;"",'Pasted_Exports'!AJ28,'File_Intake'!AJ28)</f>
        <v/>
      </c>
      <c r="AK28" s="27">
        <f>IF('Pasted_Exports'!AK28&lt;&gt;"",'Pasted_Exports'!AK28,'File_Intake'!AK28)</f>
        <v/>
      </c>
      <c r="AL28" s="27">
        <f>IF('Pasted_Exports'!AL28&lt;&gt;"",'Pasted_Exports'!AL28,'File_Intake'!AL28)</f>
        <v/>
      </c>
      <c r="AM28" s="27">
        <f>IF('Pasted_Exports'!AM28&lt;&gt;"",'Pasted_Exports'!AM28,'File_Intake'!AM28)</f>
        <v/>
      </c>
      <c r="AN28" s="27">
        <f>IF('Pasted_Exports'!AN28&lt;&gt;"",'Pasted_Exports'!AN28,'File_Intake'!AN28)</f>
        <v/>
      </c>
      <c r="AO28" s="27">
        <f>IF('Pasted_Exports'!AO28&lt;&gt;"",'Pasted_Exports'!AO28,'File_Intake'!AO28)</f>
        <v/>
      </c>
      <c r="AP28" s="27">
        <f>IF('Pasted_Exports'!AP28&lt;&gt;"",'Pasted_Exports'!AP28,'File_Intake'!AP28)</f>
        <v/>
      </c>
      <c r="AQ28" s="27">
        <f>IF('Pasted_Exports'!AQ28&lt;&gt;"",'Pasted_Exports'!AQ28,'File_Intake'!AQ28)</f>
        <v/>
      </c>
      <c r="AR28" s="27">
        <f>IF('Pasted_Exports'!AR28&lt;&gt;"",'Pasted_Exports'!AR28,'File_Intake'!AR28)</f>
        <v/>
      </c>
      <c r="AS28" s="27">
        <f>IF('Pasted_Exports'!AS28&lt;&gt;"",'Pasted_Exports'!AS28,'File_Intake'!AS28)</f>
        <v/>
      </c>
      <c r="AT28" s="47">
        <f>IF('Pasted_Exports'!AT28&lt;&gt;"",'Pasted_Exports'!AT28,'File_Intake'!AT28)</f>
        <v/>
      </c>
      <c r="AU28" s="47">
        <f>IF('Pasted_Exports'!AU28&lt;&gt;"",'Pasted_Exports'!AU28,'File_Intake'!AU28)</f>
        <v/>
      </c>
      <c r="AV28" s="47">
        <f>IF('Pasted_Exports'!AV28&lt;&gt;"",'Pasted_Exports'!AV28,'File_Intake'!AV28)</f>
        <v/>
      </c>
      <c r="AW28" s="56">
        <f>IF('Pasted_Exports'!AW28&lt;&gt;"",'Pasted_Exports'!AW28,'File_Intake'!AW28)</f>
        <v/>
      </c>
      <c r="AX28" s="56">
        <f>IF('Pasted_Exports'!AX28&lt;&gt;"",'Pasted_Exports'!AX28,'File_Intake'!AX28)</f>
        <v/>
      </c>
      <c r="AY28" s="56">
        <f>IF('Pasted_Exports'!AY28&lt;&gt;"",'Pasted_Exports'!AY28,'File_Intake'!AY28)</f>
        <v/>
      </c>
      <c r="AZ28" s="47">
        <f>IF('Pasted_Exports'!AZ28&lt;&gt;"",'Pasted_Exports'!AZ28,'File_Intake'!AZ28)</f>
        <v/>
      </c>
      <c r="BA28" s="47">
        <f>IF('Pasted_Exports'!BA28&lt;&gt;"",'Pasted_Exports'!BA28,'File_Intake'!BA28)</f>
        <v/>
      </c>
      <c r="BB28" s="47">
        <f>IF('Pasted_Exports'!BB28&lt;&gt;"",'Pasted_Exports'!BB28,'File_Intake'!BB28)</f>
        <v/>
      </c>
      <c r="BC28" s="27">
        <f>IF('Pasted_Exports'!BC28&lt;&gt;"",'Pasted_Exports'!BC28,'File_Intake'!BC28)</f>
        <v/>
      </c>
      <c r="BD28" s="27">
        <f>IF('Pasted_Exports'!BD28&lt;&gt;"",'Pasted_Exports'!BD28,'File_Intake'!BD28)</f>
        <v/>
      </c>
      <c r="BE28" s="27">
        <f>IF('Pasted_Exports'!BE28&lt;&gt;"",'Pasted_Exports'!BE28,'File_Intake'!BE28)</f>
        <v/>
      </c>
      <c r="BF28" s="47">
        <f>IF('Pasted_Exports'!BF28&lt;&gt;"",'Pasted_Exports'!BF28,'File_Intake'!BF28)</f>
        <v/>
      </c>
      <c r="BG28" s="47">
        <f>IF('Pasted_Exports'!BG28&lt;&gt;"",'Pasted_Exports'!BG28,'File_Intake'!BG28)</f>
        <v/>
      </c>
      <c r="BH28" s="47">
        <f>IF('Pasted_Exports'!BH28&lt;&gt;"",'Pasted_Exports'!BH28,'File_Intake'!BH28)</f>
        <v/>
      </c>
      <c r="BI28" s="47">
        <f>IF('Pasted_Exports'!BI28&lt;&gt;"",'Pasted_Exports'!BI28,'File_Intake'!BI28)</f>
        <v/>
      </c>
      <c r="BJ28" s="47">
        <f>IF('Pasted_Exports'!BJ28&lt;&gt;"",'Pasted_Exports'!BJ28,'File_Intake'!BJ28)</f>
        <v/>
      </c>
      <c r="BK28" s="47">
        <f>IF('Pasted_Exports'!BK28&lt;&gt;"",'Pasted_Exports'!BK28,'File_Intake'!BK28)</f>
        <v/>
      </c>
      <c r="BL28" s="47">
        <f>IF('Pasted_Exports'!BL28&lt;&gt;"",'Pasted_Exports'!BL28,'File_Intake'!BL28)</f>
        <v/>
      </c>
      <c r="BM28" s="47">
        <f>IF('Pasted_Exports'!BM28&lt;&gt;"",'Pasted_Exports'!BM28,'File_Intake'!BM28)</f>
        <v/>
      </c>
      <c r="BN28" s="47">
        <f>IF('Pasted_Exports'!BN28&lt;&gt;"",'Pasted_Exports'!BN28,'File_Intake'!BN28)</f>
        <v/>
      </c>
      <c r="BO28" s="47">
        <f>IF('Pasted_Exports'!BO28&lt;&gt;"",'Pasted_Exports'!BO28,'File_Intake'!BO28)</f>
        <v/>
      </c>
      <c r="BP28" s="47">
        <f>IF('Pasted_Exports'!BP28&lt;&gt;"",'Pasted_Exports'!BP28,'File_Intake'!BP28)</f>
        <v/>
      </c>
      <c r="BQ28" s="47">
        <f>IF('Pasted_Exports'!BQ28&lt;&gt;"",'Pasted_Exports'!BQ28,'File_Intake'!BQ28)</f>
        <v/>
      </c>
      <c r="BR28" s="47">
        <f>IF('Pasted_Exports'!BR28&lt;&gt;"",'Pasted_Exports'!BR28,'File_Intake'!BR28)</f>
        <v/>
      </c>
      <c r="BS28" s="47">
        <f>IF('Pasted_Exports'!BS28&lt;&gt;"",'Pasted_Exports'!BS28,'File_Intake'!BS28)</f>
        <v/>
      </c>
      <c r="BT28" s="47">
        <f>IF('Pasted_Exports'!BT28&lt;&gt;"",'Pasted_Exports'!BT28,'File_Intake'!BT28)</f>
        <v/>
      </c>
      <c r="BU28" s="47">
        <f>IF('Pasted_Exports'!BU28&lt;&gt;"",'Pasted_Exports'!BU28,'File_Intake'!BU28)</f>
        <v/>
      </c>
      <c r="BV28" s="47">
        <f>IF('Pasted_Exports'!BV28&lt;&gt;"",'Pasted_Exports'!BV28,'File_Intake'!BV28)</f>
        <v/>
      </c>
      <c r="BW28" s="47">
        <f>IF('Pasted_Exports'!BW28&lt;&gt;"",'Pasted_Exports'!BW28,'File_Intake'!BW28)</f>
        <v/>
      </c>
      <c r="BX28" s="29">
        <f>IF(AND($A28&lt;&gt;"",$B28&lt;&gt;"",$K28&gt;='Study_Setup'!$B$14,$L28&gt;='Study_Setup'!$B$15),1,0)</f>
        <v/>
      </c>
      <c r="BY28" s="30">
        <f>IF($A28="","",TEXTJOIN("; ",TRUE,IF($B28="","Missing arm",""),IF($K28&lt;'Study_Setup'!$B$14,"Low off-days",""),IF($L28&lt;'Study_Setup'!$B$15,"Low on-days",""),IF($AM28&gt;'Study_Setup'!$B$19,"Hypo burden increased","")))</f>
        <v/>
      </c>
      <c r="BZ28" s="61">
        <f>IFERROR($M28-$N28,"")</f>
        <v/>
      </c>
      <c r="CA28" s="62">
        <f>IFERROR(($M28-$N28)/$M28,"")</f>
        <v/>
      </c>
      <c r="CB28" s="33">
        <f>IFERROR($P28-$Q28,"")</f>
        <v/>
      </c>
      <c r="CC28" s="63">
        <f>IFERROR($T28-$S28,"")</f>
        <v/>
      </c>
      <c r="CD28" s="33">
        <f>IFERROR($AH28-$AI28,"")</f>
        <v/>
      </c>
      <c r="CE28" s="62">
        <f>IFERROR(($AH28-$AI28)/$AH28,"")</f>
        <v/>
      </c>
      <c r="CF28" s="33">
        <f>IFERROR($AQ28-$AR28,"")</f>
        <v/>
      </c>
      <c r="CG28" s="61">
        <f>IFERROR($BO28-$BP28,"")</f>
        <v/>
      </c>
      <c r="CH28" s="61">
        <f>IFERROR($BI28-$BJ28,"")</f>
        <v/>
      </c>
      <c r="CI28" s="61">
        <f>IFERROR($BL28-$BM28,"")</f>
        <v/>
      </c>
      <c r="CJ28" s="61">
        <f>IFERROR($BF28-$BG28,"")</f>
        <v/>
      </c>
      <c r="CK28" s="33">
        <f>IFERROR($BC28-$BD28,"")</f>
        <v/>
      </c>
      <c r="CL28" s="29">
        <f>IF($A28="","",IF($AM28&lt;='Study_Setup'!$B$19,1,0))</f>
        <v/>
      </c>
      <c r="CM28" s="29">
        <f>IF($A28="","",IF(AND($BZ28&gt;='Study_Setup'!$B$16,$CC28&gt;='Study_Setup'!$B$17,$CE28&gt;='Study_Setup'!$B$18,$CL28=1),1,0))</f>
        <v/>
      </c>
      <c r="CN28" s="61">
        <f>IFERROR(40*MIN(1,$BZ28/'Study_Setup'!$B$16)+25*MIN(1,$CC28/'Study_Setup'!$B$17)+25*MIN(1,$CE28/'Study_Setup'!$B$18)+10*$CL28,"")</f>
        <v/>
      </c>
      <c r="CO28">
        <f>IF('Pasted_Exports'!BX28&lt;&gt;"",'Pasted_Exports'!BX28,'File_Intake'!BX28)</f>
        <v/>
      </c>
      <c r="CP28" s="57">
        <f>IF('Pasted_Exports'!BY28&lt;&gt;"",'Pasted_Exports'!BY28,'File_Intake'!BY28)</f>
        <v/>
      </c>
      <c r="CQ28" s="57">
        <f>IF('Pasted_Exports'!BZ28&lt;&gt;"",'Pasted_Exports'!BZ28,'File_Intake'!BZ28)</f>
        <v/>
      </c>
      <c r="CR28" s="57">
        <f>IF('Pasted_Exports'!CA28&lt;&gt;"",'Pasted_Exports'!CA28,'File_Intake'!CA28)</f>
        <v/>
      </c>
      <c r="CS28" s="58">
        <f>IF('Pasted_Exports'!CB28&lt;&gt;"",'Pasted_Exports'!CB28,'File_Intake'!CB28)</f>
        <v/>
      </c>
      <c r="CT28" s="59">
        <f>IF('Pasted_Exports'!CC28&lt;&gt;"",'Pasted_Exports'!CC28,'File_Intake'!CC28)</f>
        <v/>
      </c>
      <c r="CU28">
        <f>IF('Pasted_Exports'!CD28&lt;&gt;"",'Pasted_Exports'!CD28,'File_Intake'!CD28)</f>
        <v/>
      </c>
      <c r="CV28">
        <f>IF('Pasted_Exports'!CE28&lt;&gt;"",'Pasted_Exports'!CE28,'File_Intake'!CE28)</f>
        <v/>
      </c>
      <c r="CW28" s="60">
        <f>IF('Pasted_Exports'!CF28&lt;&gt;"",'Pasted_Exports'!CF28,'File_Intake'!CF28)</f>
        <v/>
      </c>
      <c r="CX28" s="60">
        <f>IF('Pasted_Exports'!CG28&lt;&gt;"",'Pasted_Exports'!CG28,'File_Intake'!CG28)</f>
        <v/>
      </c>
      <c r="CY28">
        <f>IF('Pasted_Exports'!CH28&lt;&gt;"",'Pasted_Exports'!CH28,'File_Intake'!CH28)</f>
        <v/>
      </c>
    </row>
    <row r="29">
      <c r="A29" s="24">
        <f>IF('Pasted_Exports'!A29&lt;&gt;"",'Pasted_Exports'!A29,'File_Intake'!A29)</f>
        <v/>
      </c>
      <c r="B29" s="24">
        <f>IF('Pasted_Exports'!B29&lt;&gt;"",'Pasted_Exports'!B29,'File_Intake'!B29)</f>
        <v/>
      </c>
      <c r="C29" s="24">
        <f>IF('Pasted_Exports'!C29&lt;&gt;"",'Pasted_Exports'!C29,'File_Intake'!C29)</f>
        <v/>
      </c>
      <c r="D29" s="24">
        <f>IF('Pasted_Exports'!D29&lt;&gt;"",'Pasted_Exports'!D29,'File_Intake'!D29)</f>
        <v/>
      </c>
      <c r="E29" s="55">
        <f>IF('Pasted_Exports'!E29&lt;&gt;"",'Pasted_Exports'!E29,'File_Intake'!E29)</f>
        <v/>
      </c>
      <c r="F29" s="26">
        <f>IF('Pasted_Exports'!F29&lt;&gt;"",'Pasted_Exports'!F29,'File_Intake'!F29)</f>
        <v/>
      </c>
      <c r="G29" s="26">
        <f>IF('Pasted_Exports'!G29&lt;&gt;"",'Pasted_Exports'!G29,'File_Intake'!G29)</f>
        <v/>
      </c>
      <c r="H29" s="47">
        <f>IF('Pasted_Exports'!H29&lt;&gt;"",'Pasted_Exports'!H29,'File_Intake'!H29)</f>
        <v/>
      </c>
      <c r="I29" s="26">
        <f>IF('Pasted_Exports'!I29&lt;&gt;"",'Pasted_Exports'!I29,'File_Intake'!I29)</f>
        <v/>
      </c>
      <c r="J29" s="26">
        <f>IF('Pasted_Exports'!J29&lt;&gt;"",'Pasted_Exports'!J29,'File_Intake'!J29)</f>
        <v/>
      </c>
      <c r="K29" s="47">
        <f>IF('Pasted_Exports'!K29&lt;&gt;"",'Pasted_Exports'!K29,'File_Intake'!K29)</f>
        <v/>
      </c>
      <c r="L29" s="47">
        <f>IF('Pasted_Exports'!L29&lt;&gt;"",'Pasted_Exports'!L29,'File_Intake'!L29)</f>
        <v/>
      </c>
      <c r="M29" s="47">
        <f>IF('Pasted_Exports'!M29&lt;&gt;"",'Pasted_Exports'!M29,'File_Intake'!M29)</f>
        <v/>
      </c>
      <c r="N29" s="47">
        <f>IF('Pasted_Exports'!N29&lt;&gt;"",'Pasted_Exports'!N29,'File_Intake'!N29)</f>
        <v/>
      </c>
      <c r="O29" s="47">
        <f>IF('Pasted_Exports'!O29&lt;&gt;"",'Pasted_Exports'!O29,'File_Intake'!O29)</f>
        <v/>
      </c>
      <c r="P29" s="27">
        <f>IF('Pasted_Exports'!P29&lt;&gt;"",'Pasted_Exports'!P29,'File_Intake'!P29)</f>
        <v/>
      </c>
      <c r="Q29" s="27">
        <f>IF('Pasted_Exports'!Q29&lt;&gt;"",'Pasted_Exports'!Q29,'File_Intake'!Q29)</f>
        <v/>
      </c>
      <c r="R29" s="27">
        <f>IF('Pasted_Exports'!R29&lt;&gt;"",'Pasted_Exports'!R29,'File_Intake'!R29)</f>
        <v/>
      </c>
      <c r="S29" s="56">
        <f>IF('Pasted_Exports'!S29&lt;&gt;"",'Pasted_Exports'!S29,'File_Intake'!S29)</f>
        <v/>
      </c>
      <c r="T29" s="56">
        <f>IF('Pasted_Exports'!T29&lt;&gt;"",'Pasted_Exports'!T29,'File_Intake'!T29)</f>
        <v/>
      </c>
      <c r="U29" s="56">
        <f>IF('Pasted_Exports'!U29&lt;&gt;"",'Pasted_Exports'!U29,'File_Intake'!U29)</f>
        <v/>
      </c>
      <c r="V29" s="56">
        <f>IF('Pasted_Exports'!V29&lt;&gt;"",'Pasted_Exports'!V29,'File_Intake'!V29)</f>
        <v/>
      </c>
      <c r="W29" s="56">
        <f>IF('Pasted_Exports'!W29&lt;&gt;"",'Pasted_Exports'!W29,'File_Intake'!W29)</f>
        <v/>
      </c>
      <c r="X29" s="56">
        <f>IF('Pasted_Exports'!X29&lt;&gt;"",'Pasted_Exports'!X29,'File_Intake'!X29)</f>
        <v/>
      </c>
      <c r="Y29" s="56">
        <f>IF('Pasted_Exports'!Y29&lt;&gt;"",'Pasted_Exports'!Y29,'File_Intake'!Y29)</f>
        <v/>
      </c>
      <c r="Z29" s="56">
        <f>IF('Pasted_Exports'!Z29&lt;&gt;"",'Pasted_Exports'!Z29,'File_Intake'!Z29)</f>
        <v/>
      </c>
      <c r="AA29" s="56">
        <f>IF('Pasted_Exports'!AA29&lt;&gt;"",'Pasted_Exports'!AA29,'File_Intake'!AA29)</f>
        <v/>
      </c>
      <c r="AB29" s="56">
        <f>IF('Pasted_Exports'!AB29&lt;&gt;"",'Pasted_Exports'!AB29,'File_Intake'!AB29)</f>
        <v/>
      </c>
      <c r="AC29" s="56">
        <f>IF('Pasted_Exports'!AC29&lt;&gt;"",'Pasted_Exports'!AC29,'File_Intake'!AC29)</f>
        <v/>
      </c>
      <c r="AD29" s="56">
        <f>IF('Pasted_Exports'!AD29&lt;&gt;"",'Pasted_Exports'!AD29,'File_Intake'!AD29)</f>
        <v/>
      </c>
      <c r="AE29" s="56">
        <f>IF('Pasted_Exports'!AE29&lt;&gt;"",'Pasted_Exports'!AE29,'File_Intake'!AE29)</f>
        <v/>
      </c>
      <c r="AF29" s="56">
        <f>IF('Pasted_Exports'!AF29&lt;&gt;"",'Pasted_Exports'!AF29,'File_Intake'!AF29)</f>
        <v/>
      </c>
      <c r="AG29" s="56">
        <f>IF('Pasted_Exports'!AG29&lt;&gt;"",'Pasted_Exports'!AG29,'File_Intake'!AG29)</f>
        <v/>
      </c>
      <c r="AH29" s="27">
        <f>IF('Pasted_Exports'!AH29&lt;&gt;"",'Pasted_Exports'!AH29,'File_Intake'!AH29)</f>
        <v/>
      </c>
      <c r="AI29" s="27">
        <f>IF('Pasted_Exports'!AI29&lt;&gt;"",'Pasted_Exports'!AI29,'File_Intake'!AI29)</f>
        <v/>
      </c>
      <c r="AJ29" s="27">
        <f>IF('Pasted_Exports'!AJ29&lt;&gt;"",'Pasted_Exports'!AJ29,'File_Intake'!AJ29)</f>
        <v/>
      </c>
      <c r="AK29" s="27">
        <f>IF('Pasted_Exports'!AK29&lt;&gt;"",'Pasted_Exports'!AK29,'File_Intake'!AK29)</f>
        <v/>
      </c>
      <c r="AL29" s="27">
        <f>IF('Pasted_Exports'!AL29&lt;&gt;"",'Pasted_Exports'!AL29,'File_Intake'!AL29)</f>
        <v/>
      </c>
      <c r="AM29" s="27">
        <f>IF('Pasted_Exports'!AM29&lt;&gt;"",'Pasted_Exports'!AM29,'File_Intake'!AM29)</f>
        <v/>
      </c>
      <c r="AN29" s="27">
        <f>IF('Pasted_Exports'!AN29&lt;&gt;"",'Pasted_Exports'!AN29,'File_Intake'!AN29)</f>
        <v/>
      </c>
      <c r="AO29" s="27">
        <f>IF('Pasted_Exports'!AO29&lt;&gt;"",'Pasted_Exports'!AO29,'File_Intake'!AO29)</f>
        <v/>
      </c>
      <c r="AP29" s="27">
        <f>IF('Pasted_Exports'!AP29&lt;&gt;"",'Pasted_Exports'!AP29,'File_Intake'!AP29)</f>
        <v/>
      </c>
      <c r="AQ29" s="27">
        <f>IF('Pasted_Exports'!AQ29&lt;&gt;"",'Pasted_Exports'!AQ29,'File_Intake'!AQ29)</f>
        <v/>
      </c>
      <c r="AR29" s="27">
        <f>IF('Pasted_Exports'!AR29&lt;&gt;"",'Pasted_Exports'!AR29,'File_Intake'!AR29)</f>
        <v/>
      </c>
      <c r="AS29" s="27">
        <f>IF('Pasted_Exports'!AS29&lt;&gt;"",'Pasted_Exports'!AS29,'File_Intake'!AS29)</f>
        <v/>
      </c>
      <c r="AT29" s="47">
        <f>IF('Pasted_Exports'!AT29&lt;&gt;"",'Pasted_Exports'!AT29,'File_Intake'!AT29)</f>
        <v/>
      </c>
      <c r="AU29" s="47">
        <f>IF('Pasted_Exports'!AU29&lt;&gt;"",'Pasted_Exports'!AU29,'File_Intake'!AU29)</f>
        <v/>
      </c>
      <c r="AV29" s="47">
        <f>IF('Pasted_Exports'!AV29&lt;&gt;"",'Pasted_Exports'!AV29,'File_Intake'!AV29)</f>
        <v/>
      </c>
      <c r="AW29" s="56">
        <f>IF('Pasted_Exports'!AW29&lt;&gt;"",'Pasted_Exports'!AW29,'File_Intake'!AW29)</f>
        <v/>
      </c>
      <c r="AX29" s="56">
        <f>IF('Pasted_Exports'!AX29&lt;&gt;"",'Pasted_Exports'!AX29,'File_Intake'!AX29)</f>
        <v/>
      </c>
      <c r="AY29" s="56">
        <f>IF('Pasted_Exports'!AY29&lt;&gt;"",'Pasted_Exports'!AY29,'File_Intake'!AY29)</f>
        <v/>
      </c>
      <c r="AZ29" s="47">
        <f>IF('Pasted_Exports'!AZ29&lt;&gt;"",'Pasted_Exports'!AZ29,'File_Intake'!AZ29)</f>
        <v/>
      </c>
      <c r="BA29" s="47">
        <f>IF('Pasted_Exports'!BA29&lt;&gt;"",'Pasted_Exports'!BA29,'File_Intake'!BA29)</f>
        <v/>
      </c>
      <c r="BB29" s="47">
        <f>IF('Pasted_Exports'!BB29&lt;&gt;"",'Pasted_Exports'!BB29,'File_Intake'!BB29)</f>
        <v/>
      </c>
      <c r="BC29" s="27">
        <f>IF('Pasted_Exports'!BC29&lt;&gt;"",'Pasted_Exports'!BC29,'File_Intake'!BC29)</f>
        <v/>
      </c>
      <c r="BD29" s="27">
        <f>IF('Pasted_Exports'!BD29&lt;&gt;"",'Pasted_Exports'!BD29,'File_Intake'!BD29)</f>
        <v/>
      </c>
      <c r="BE29" s="27">
        <f>IF('Pasted_Exports'!BE29&lt;&gt;"",'Pasted_Exports'!BE29,'File_Intake'!BE29)</f>
        <v/>
      </c>
      <c r="BF29" s="47">
        <f>IF('Pasted_Exports'!BF29&lt;&gt;"",'Pasted_Exports'!BF29,'File_Intake'!BF29)</f>
        <v/>
      </c>
      <c r="BG29" s="47">
        <f>IF('Pasted_Exports'!BG29&lt;&gt;"",'Pasted_Exports'!BG29,'File_Intake'!BG29)</f>
        <v/>
      </c>
      <c r="BH29" s="47">
        <f>IF('Pasted_Exports'!BH29&lt;&gt;"",'Pasted_Exports'!BH29,'File_Intake'!BH29)</f>
        <v/>
      </c>
      <c r="BI29" s="47">
        <f>IF('Pasted_Exports'!BI29&lt;&gt;"",'Pasted_Exports'!BI29,'File_Intake'!BI29)</f>
        <v/>
      </c>
      <c r="BJ29" s="47">
        <f>IF('Pasted_Exports'!BJ29&lt;&gt;"",'Pasted_Exports'!BJ29,'File_Intake'!BJ29)</f>
        <v/>
      </c>
      <c r="BK29" s="47">
        <f>IF('Pasted_Exports'!BK29&lt;&gt;"",'Pasted_Exports'!BK29,'File_Intake'!BK29)</f>
        <v/>
      </c>
      <c r="BL29" s="47">
        <f>IF('Pasted_Exports'!BL29&lt;&gt;"",'Pasted_Exports'!BL29,'File_Intake'!BL29)</f>
        <v/>
      </c>
      <c r="BM29" s="47">
        <f>IF('Pasted_Exports'!BM29&lt;&gt;"",'Pasted_Exports'!BM29,'File_Intake'!BM29)</f>
        <v/>
      </c>
      <c r="BN29" s="47">
        <f>IF('Pasted_Exports'!BN29&lt;&gt;"",'Pasted_Exports'!BN29,'File_Intake'!BN29)</f>
        <v/>
      </c>
      <c r="BO29" s="47">
        <f>IF('Pasted_Exports'!BO29&lt;&gt;"",'Pasted_Exports'!BO29,'File_Intake'!BO29)</f>
        <v/>
      </c>
      <c r="BP29" s="47">
        <f>IF('Pasted_Exports'!BP29&lt;&gt;"",'Pasted_Exports'!BP29,'File_Intake'!BP29)</f>
        <v/>
      </c>
      <c r="BQ29" s="47">
        <f>IF('Pasted_Exports'!BQ29&lt;&gt;"",'Pasted_Exports'!BQ29,'File_Intake'!BQ29)</f>
        <v/>
      </c>
      <c r="BR29" s="47">
        <f>IF('Pasted_Exports'!BR29&lt;&gt;"",'Pasted_Exports'!BR29,'File_Intake'!BR29)</f>
        <v/>
      </c>
      <c r="BS29" s="47">
        <f>IF('Pasted_Exports'!BS29&lt;&gt;"",'Pasted_Exports'!BS29,'File_Intake'!BS29)</f>
        <v/>
      </c>
      <c r="BT29" s="47">
        <f>IF('Pasted_Exports'!BT29&lt;&gt;"",'Pasted_Exports'!BT29,'File_Intake'!BT29)</f>
        <v/>
      </c>
      <c r="BU29" s="47">
        <f>IF('Pasted_Exports'!BU29&lt;&gt;"",'Pasted_Exports'!BU29,'File_Intake'!BU29)</f>
        <v/>
      </c>
      <c r="BV29" s="47">
        <f>IF('Pasted_Exports'!BV29&lt;&gt;"",'Pasted_Exports'!BV29,'File_Intake'!BV29)</f>
        <v/>
      </c>
      <c r="BW29" s="47">
        <f>IF('Pasted_Exports'!BW29&lt;&gt;"",'Pasted_Exports'!BW29,'File_Intake'!BW29)</f>
        <v/>
      </c>
      <c r="BX29" s="29">
        <f>IF(AND($A29&lt;&gt;"",$B29&lt;&gt;"",$K29&gt;='Study_Setup'!$B$14,$L29&gt;='Study_Setup'!$B$15),1,0)</f>
        <v/>
      </c>
      <c r="BY29" s="30">
        <f>IF($A29="","",TEXTJOIN("; ",TRUE,IF($B29="","Missing arm",""),IF($K29&lt;'Study_Setup'!$B$14,"Low off-days",""),IF($L29&lt;'Study_Setup'!$B$15,"Low on-days",""),IF($AM29&gt;'Study_Setup'!$B$19,"Hypo burden increased","")))</f>
        <v/>
      </c>
      <c r="BZ29" s="61">
        <f>IFERROR($M29-$N29,"")</f>
        <v/>
      </c>
      <c r="CA29" s="62">
        <f>IFERROR(($M29-$N29)/$M29,"")</f>
        <v/>
      </c>
      <c r="CB29" s="33">
        <f>IFERROR($P29-$Q29,"")</f>
        <v/>
      </c>
      <c r="CC29" s="63">
        <f>IFERROR($T29-$S29,"")</f>
        <v/>
      </c>
      <c r="CD29" s="33">
        <f>IFERROR($AH29-$AI29,"")</f>
        <v/>
      </c>
      <c r="CE29" s="62">
        <f>IFERROR(($AH29-$AI29)/$AH29,"")</f>
        <v/>
      </c>
      <c r="CF29" s="33">
        <f>IFERROR($AQ29-$AR29,"")</f>
        <v/>
      </c>
      <c r="CG29" s="61">
        <f>IFERROR($BO29-$BP29,"")</f>
        <v/>
      </c>
      <c r="CH29" s="61">
        <f>IFERROR($BI29-$BJ29,"")</f>
        <v/>
      </c>
      <c r="CI29" s="61">
        <f>IFERROR($BL29-$BM29,"")</f>
        <v/>
      </c>
      <c r="CJ29" s="61">
        <f>IFERROR($BF29-$BG29,"")</f>
        <v/>
      </c>
      <c r="CK29" s="33">
        <f>IFERROR($BC29-$BD29,"")</f>
        <v/>
      </c>
      <c r="CL29" s="29">
        <f>IF($A29="","",IF($AM29&lt;='Study_Setup'!$B$19,1,0))</f>
        <v/>
      </c>
      <c r="CM29" s="29">
        <f>IF($A29="","",IF(AND($BZ29&gt;='Study_Setup'!$B$16,$CC29&gt;='Study_Setup'!$B$17,$CE29&gt;='Study_Setup'!$B$18,$CL29=1),1,0))</f>
        <v/>
      </c>
      <c r="CN29" s="61">
        <f>IFERROR(40*MIN(1,$BZ29/'Study_Setup'!$B$16)+25*MIN(1,$CC29/'Study_Setup'!$B$17)+25*MIN(1,$CE29/'Study_Setup'!$B$18)+10*$CL29,"")</f>
        <v/>
      </c>
      <c r="CO29">
        <f>IF('Pasted_Exports'!BX29&lt;&gt;"",'Pasted_Exports'!BX29,'File_Intake'!BX29)</f>
        <v/>
      </c>
      <c r="CP29" s="57">
        <f>IF('Pasted_Exports'!BY29&lt;&gt;"",'Pasted_Exports'!BY29,'File_Intake'!BY29)</f>
        <v/>
      </c>
      <c r="CQ29" s="57">
        <f>IF('Pasted_Exports'!BZ29&lt;&gt;"",'Pasted_Exports'!BZ29,'File_Intake'!BZ29)</f>
        <v/>
      </c>
      <c r="CR29" s="57">
        <f>IF('Pasted_Exports'!CA29&lt;&gt;"",'Pasted_Exports'!CA29,'File_Intake'!CA29)</f>
        <v/>
      </c>
      <c r="CS29" s="58">
        <f>IF('Pasted_Exports'!CB29&lt;&gt;"",'Pasted_Exports'!CB29,'File_Intake'!CB29)</f>
        <v/>
      </c>
      <c r="CT29" s="59">
        <f>IF('Pasted_Exports'!CC29&lt;&gt;"",'Pasted_Exports'!CC29,'File_Intake'!CC29)</f>
        <v/>
      </c>
      <c r="CU29">
        <f>IF('Pasted_Exports'!CD29&lt;&gt;"",'Pasted_Exports'!CD29,'File_Intake'!CD29)</f>
        <v/>
      </c>
      <c r="CV29">
        <f>IF('Pasted_Exports'!CE29&lt;&gt;"",'Pasted_Exports'!CE29,'File_Intake'!CE29)</f>
        <v/>
      </c>
      <c r="CW29" s="60">
        <f>IF('Pasted_Exports'!CF29&lt;&gt;"",'Pasted_Exports'!CF29,'File_Intake'!CF29)</f>
        <v/>
      </c>
      <c r="CX29" s="60">
        <f>IF('Pasted_Exports'!CG29&lt;&gt;"",'Pasted_Exports'!CG29,'File_Intake'!CG29)</f>
        <v/>
      </c>
      <c r="CY29">
        <f>IF('Pasted_Exports'!CH29&lt;&gt;"",'Pasted_Exports'!CH29,'File_Intake'!CH29)</f>
        <v/>
      </c>
    </row>
    <row r="30">
      <c r="A30" s="24">
        <f>IF('Pasted_Exports'!A30&lt;&gt;"",'Pasted_Exports'!A30,'File_Intake'!A30)</f>
        <v/>
      </c>
      <c r="B30" s="24">
        <f>IF('Pasted_Exports'!B30&lt;&gt;"",'Pasted_Exports'!B30,'File_Intake'!B30)</f>
        <v/>
      </c>
      <c r="C30" s="24">
        <f>IF('Pasted_Exports'!C30&lt;&gt;"",'Pasted_Exports'!C30,'File_Intake'!C30)</f>
        <v/>
      </c>
      <c r="D30" s="24">
        <f>IF('Pasted_Exports'!D30&lt;&gt;"",'Pasted_Exports'!D30,'File_Intake'!D30)</f>
        <v/>
      </c>
      <c r="E30" s="55">
        <f>IF('Pasted_Exports'!E30&lt;&gt;"",'Pasted_Exports'!E30,'File_Intake'!E30)</f>
        <v/>
      </c>
      <c r="F30" s="26">
        <f>IF('Pasted_Exports'!F30&lt;&gt;"",'Pasted_Exports'!F30,'File_Intake'!F30)</f>
        <v/>
      </c>
      <c r="G30" s="26">
        <f>IF('Pasted_Exports'!G30&lt;&gt;"",'Pasted_Exports'!G30,'File_Intake'!G30)</f>
        <v/>
      </c>
      <c r="H30" s="47">
        <f>IF('Pasted_Exports'!H30&lt;&gt;"",'Pasted_Exports'!H30,'File_Intake'!H30)</f>
        <v/>
      </c>
      <c r="I30" s="26">
        <f>IF('Pasted_Exports'!I30&lt;&gt;"",'Pasted_Exports'!I30,'File_Intake'!I30)</f>
        <v/>
      </c>
      <c r="J30" s="26">
        <f>IF('Pasted_Exports'!J30&lt;&gt;"",'Pasted_Exports'!J30,'File_Intake'!J30)</f>
        <v/>
      </c>
      <c r="K30" s="47">
        <f>IF('Pasted_Exports'!K30&lt;&gt;"",'Pasted_Exports'!K30,'File_Intake'!K30)</f>
        <v/>
      </c>
      <c r="L30" s="47">
        <f>IF('Pasted_Exports'!L30&lt;&gt;"",'Pasted_Exports'!L30,'File_Intake'!L30)</f>
        <v/>
      </c>
      <c r="M30" s="47">
        <f>IF('Pasted_Exports'!M30&lt;&gt;"",'Pasted_Exports'!M30,'File_Intake'!M30)</f>
        <v/>
      </c>
      <c r="N30" s="47">
        <f>IF('Pasted_Exports'!N30&lt;&gt;"",'Pasted_Exports'!N30,'File_Intake'!N30)</f>
        <v/>
      </c>
      <c r="O30" s="47">
        <f>IF('Pasted_Exports'!O30&lt;&gt;"",'Pasted_Exports'!O30,'File_Intake'!O30)</f>
        <v/>
      </c>
      <c r="P30" s="27">
        <f>IF('Pasted_Exports'!P30&lt;&gt;"",'Pasted_Exports'!P30,'File_Intake'!P30)</f>
        <v/>
      </c>
      <c r="Q30" s="27">
        <f>IF('Pasted_Exports'!Q30&lt;&gt;"",'Pasted_Exports'!Q30,'File_Intake'!Q30)</f>
        <v/>
      </c>
      <c r="R30" s="27">
        <f>IF('Pasted_Exports'!R30&lt;&gt;"",'Pasted_Exports'!R30,'File_Intake'!R30)</f>
        <v/>
      </c>
      <c r="S30" s="56">
        <f>IF('Pasted_Exports'!S30&lt;&gt;"",'Pasted_Exports'!S30,'File_Intake'!S30)</f>
        <v/>
      </c>
      <c r="T30" s="56">
        <f>IF('Pasted_Exports'!T30&lt;&gt;"",'Pasted_Exports'!T30,'File_Intake'!T30)</f>
        <v/>
      </c>
      <c r="U30" s="56">
        <f>IF('Pasted_Exports'!U30&lt;&gt;"",'Pasted_Exports'!U30,'File_Intake'!U30)</f>
        <v/>
      </c>
      <c r="V30" s="56">
        <f>IF('Pasted_Exports'!V30&lt;&gt;"",'Pasted_Exports'!V30,'File_Intake'!V30)</f>
        <v/>
      </c>
      <c r="W30" s="56">
        <f>IF('Pasted_Exports'!W30&lt;&gt;"",'Pasted_Exports'!W30,'File_Intake'!W30)</f>
        <v/>
      </c>
      <c r="X30" s="56">
        <f>IF('Pasted_Exports'!X30&lt;&gt;"",'Pasted_Exports'!X30,'File_Intake'!X30)</f>
        <v/>
      </c>
      <c r="Y30" s="56">
        <f>IF('Pasted_Exports'!Y30&lt;&gt;"",'Pasted_Exports'!Y30,'File_Intake'!Y30)</f>
        <v/>
      </c>
      <c r="Z30" s="56">
        <f>IF('Pasted_Exports'!Z30&lt;&gt;"",'Pasted_Exports'!Z30,'File_Intake'!Z30)</f>
        <v/>
      </c>
      <c r="AA30" s="56">
        <f>IF('Pasted_Exports'!AA30&lt;&gt;"",'Pasted_Exports'!AA30,'File_Intake'!AA30)</f>
        <v/>
      </c>
      <c r="AB30" s="56">
        <f>IF('Pasted_Exports'!AB30&lt;&gt;"",'Pasted_Exports'!AB30,'File_Intake'!AB30)</f>
        <v/>
      </c>
      <c r="AC30" s="56">
        <f>IF('Pasted_Exports'!AC30&lt;&gt;"",'Pasted_Exports'!AC30,'File_Intake'!AC30)</f>
        <v/>
      </c>
      <c r="AD30" s="56">
        <f>IF('Pasted_Exports'!AD30&lt;&gt;"",'Pasted_Exports'!AD30,'File_Intake'!AD30)</f>
        <v/>
      </c>
      <c r="AE30" s="56">
        <f>IF('Pasted_Exports'!AE30&lt;&gt;"",'Pasted_Exports'!AE30,'File_Intake'!AE30)</f>
        <v/>
      </c>
      <c r="AF30" s="56">
        <f>IF('Pasted_Exports'!AF30&lt;&gt;"",'Pasted_Exports'!AF30,'File_Intake'!AF30)</f>
        <v/>
      </c>
      <c r="AG30" s="56">
        <f>IF('Pasted_Exports'!AG30&lt;&gt;"",'Pasted_Exports'!AG30,'File_Intake'!AG30)</f>
        <v/>
      </c>
      <c r="AH30" s="27">
        <f>IF('Pasted_Exports'!AH30&lt;&gt;"",'Pasted_Exports'!AH30,'File_Intake'!AH30)</f>
        <v/>
      </c>
      <c r="AI30" s="27">
        <f>IF('Pasted_Exports'!AI30&lt;&gt;"",'Pasted_Exports'!AI30,'File_Intake'!AI30)</f>
        <v/>
      </c>
      <c r="AJ30" s="27">
        <f>IF('Pasted_Exports'!AJ30&lt;&gt;"",'Pasted_Exports'!AJ30,'File_Intake'!AJ30)</f>
        <v/>
      </c>
      <c r="AK30" s="27">
        <f>IF('Pasted_Exports'!AK30&lt;&gt;"",'Pasted_Exports'!AK30,'File_Intake'!AK30)</f>
        <v/>
      </c>
      <c r="AL30" s="27">
        <f>IF('Pasted_Exports'!AL30&lt;&gt;"",'Pasted_Exports'!AL30,'File_Intake'!AL30)</f>
        <v/>
      </c>
      <c r="AM30" s="27">
        <f>IF('Pasted_Exports'!AM30&lt;&gt;"",'Pasted_Exports'!AM30,'File_Intake'!AM30)</f>
        <v/>
      </c>
      <c r="AN30" s="27">
        <f>IF('Pasted_Exports'!AN30&lt;&gt;"",'Pasted_Exports'!AN30,'File_Intake'!AN30)</f>
        <v/>
      </c>
      <c r="AO30" s="27">
        <f>IF('Pasted_Exports'!AO30&lt;&gt;"",'Pasted_Exports'!AO30,'File_Intake'!AO30)</f>
        <v/>
      </c>
      <c r="AP30" s="27">
        <f>IF('Pasted_Exports'!AP30&lt;&gt;"",'Pasted_Exports'!AP30,'File_Intake'!AP30)</f>
        <v/>
      </c>
      <c r="AQ30" s="27">
        <f>IF('Pasted_Exports'!AQ30&lt;&gt;"",'Pasted_Exports'!AQ30,'File_Intake'!AQ30)</f>
        <v/>
      </c>
      <c r="AR30" s="27">
        <f>IF('Pasted_Exports'!AR30&lt;&gt;"",'Pasted_Exports'!AR30,'File_Intake'!AR30)</f>
        <v/>
      </c>
      <c r="AS30" s="27">
        <f>IF('Pasted_Exports'!AS30&lt;&gt;"",'Pasted_Exports'!AS30,'File_Intake'!AS30)</f>
        <v/>
      </c>
      <c r="AT30" s="47">
        <f>IF('Pasted_Exports'!AT30&lt;&gt;"",'Pasted_Exports'!AT30,'File_Intake'!AT30)</f>
        <v/>
      </c>
      <c r="AU30" s="47">
        <f>IF('Pasted_Exports'!AU30&lt;&gt;"",'Pasted_Exports'!AU30,'File_Intake'!AU30)</f>
        <v/>
      </c>
      <c r="AV30" s="47">
        <f>IF('Pasted_Exports'!AV30&lt;&gt;"",'Pasted_Exports'!AV30,'File_Intake'!AV30)</f>
        <v/>
      </c>
      <c r="AW30" s="56">
        <f>IF('Pasted_Exports'!AW30&lt;&gt;"",'Pasted_Exports'!AW30,'File_Intake'!AW30)</f>
        <v/>
      </c>
      <c r="AX30" s="56">
        <f>IF('Pasted_Exports'!AX30&lt;&gt;"",'Pasted_Exports'!AX30,'File_Intake'!AX30)</f>
        <v/>
      </c>
      <c r="AY30" s="56">
        <f>IF('Pasted_Exports'!AY30&lt;&gt;"",'Pasted_Exports'!AY30,'File_Intake'!AY30)</f>
        <v/>
      </c>
      <c r="AZ30" s="47">
        <f>IF('Pasted_Exports'!AZ30&lt;&gt;"",'Pasted_Exports'!AZ30,'File_Intake'!AZ30)</f>
        <v/>
      </c>
      <c r="BA30" s="47">
        <f>IF('Pasted_Exports'!BA30&lt;&gt;"",'Pasted_Exports'!BA30,'File_Intake'!BA30)</f>
        <v/>
      </c>
      <c r="BB30" s="47">
        <f>IF('Pasted_Exports'!BB30&lt;&gt;"",'Pasted_Exports'!BB30,'File_Intake'!BB30)</f>
        <v/>
      </c>
      <c r="BC30" s="27">
        <f>IF('Pasted_Exports'!BC30&lt;&gt;"",'Pasted_Exports'!BC30,'File_Intake'!BC30)</f>
        <v/>
      </c>
      <c r="BD30" s="27">
        <f>IF('Pasted_Exports'!BD30&lt;&gt;"",'Pasted_Exports'!BD30,'File_Intake'!BD30)</f>
        <v/>
      </c>
      <c r="BE30" s="27">
        <f>IF('Pasted_Exports'!BE30&lt;&gt;"",'Pasted_Exports'!BE30,'File_Intake'!BE30)</f>
        <v/>
      </c>
      <c r="BF30" s="47">
        <f>IF('Pasted_Exports'!BF30&lt;&gt;"",'Pasted_Exports'!BF30,'File_Intake'!BF30)</f>
        <v/>
      </c>
      <c r="BG30" s="47">
        <f>IF('Pasted_Exports'!BG30&lt;&gt;"",'Pasted_Exports'!BG30,'File_Intake'!BG30)</f>
        <v/>
      </c>
      <c r="BH30" s="47">
        <f>IF('Pasted_Exports'!BH30&lt;&gt;"",'Pasted_Exports'!BH30,'File_Intake'!BH30)</f>
        <v/>
      </c>
      <c r="BI30" s="47">
        <f>IF('Pasted_Exports'!BI30&lt;&gt;"",'Pasted_Exports'!BI30,'File_Intake'!BI30)</f>
        <v/>
      </c>
      <c r="BJ30" s="47">
        <f>IF('Pasted_Exports'!BJ30&lt;&gt;"",'Pasted_Exports'!BJ30,'File_Intake'!BJ30)</f>
        <v/>
      </c>
      <c r="BK30" s="47">
        <f>IF('Pasted_Exports'!BK30&lt;&gt;"",'Pasted_Exports'!BK30,'File_Intake'!BK30)</f>
        <v/>
      </c>
      <c r="BL30" s="47">
        <f>IF('Pasted_Exports'!BL30&lt;&gt;"",'Pasted_Exports'!BL30,'File_Intake'!BL30)</f>
        <v/>
      </c>
      <c r="BM30" s="47">
        <f>IF('Pasted_Exports'!BM30&lt;&gt;"",'Pasted_Exports'!BM30,'File_Intake'!BM30)</f>
        <v/>
      </c>
      <c r="BN30" s="47">
        <f>IF('Pasted_Exports'!BN30&lt;&gt;"",'Pasted_Exports'!BN30,'File_Intake'!BN30)</f>
        <v/>
      </c>
      <c r="BO30" s="47">
        <f>IF('Pasted_Exports'!BO30&lt;&gt;"",'Pasted_Exports'!BO30,'File_Intake'!BO30)</f>
        <v/>
      </c>
      <c r="BP30" s="47">
        <f>IF('Pasted_Exports'!BP30&lt;&gt;"",'Pasted_Exports'!BP30,'File_Intake'!BP30)</f>
        <v/>
      </c>
      <c r="BQ30" s="47">
        <f>IF('Pasted_Exports'!BQ30&lt;&gt;"",'Pasted_Exports'!BQ30,'File_Intake'!BQ30)</f>
        <v/>
      </c>
      <c r="BR30" s="47">
        <f>IF('Pasted_Exports'!BR30&lt;&gt;"",'Pasted_Exports'!BR30,'File_Intake'!BR30)</f>
        <v/>
      </c>
      <c r="BS30" s="47">
        <f>IF('Pasted_Exports'!BS30&lt;&gt;"",'Pasted_Exports'!BS30,'File_Intake'!BS30)</f>
        <v/>
      </c>
      <c r="BT30" s="47">
        <f>IF('Pasted_Exports'!BT30&lt;&gt;"",'Pasted_Exports'!BT30,'File_Intake'!BT30)</f>
        <v/>
      </c>
      <c r="BU30" s="47">
        <f>IF('Pasted_Exports'!BU30&lt;&gt;"",'Pasted_Exports'!BU30,'File_Intake'!BU30)</f>
        <v/>
      </c>
      <c r="BV30" s="47">
        <f>IF('Pasted_Exports'!BV30&lt;&gt;"",'Pasted_Exports'!BV30,'File_Intake'!BV30)</f>
        <v/>
      </c>
      <c r="BW30" s="47">
        <f>IF('Pasted_Exports'!BW30&lt;&gt;"",'Pasted_Exports'!BW30,'File_Intake'!BW30)</f>
        <v/>
      </c>
      <c r="BX30" s="29">
        <f>IF(AND($A30&lt;&gt;"",$B30&lt;&gt;"",$K30&gt;='Study_Setup'!$B$14,$L30&gt;='Study_Setup'!$B$15),1,0)</f>
        <v/>
      </c>
      <c r="BY30" s="30">
        <f>IF($A30="","",TEXTJOIN("; ",TRUE,IF($B30="","Missing arm",""),IF($K30&lt;'Study_Setup'!$B$14,"Low off-days",""),IF($L30&lt;'Study_Setup'!$B$15,"Low on-days",""),IF($AM30&gt;'Study_Setup'!$B$19,"Hypo burden increased","")))</f>
        <v/>
      </c>
      <c r="BZ30" s="61">
        <f>IFERROR($M30-$N30,"")</f>
        <v/>
      </c>
      <c r="CA30" s="62">
        <f>IFERROR(($M30-$N30)/$M30,"")</f>
        <v/>
      </c>
      <c r="CB30" s="33">
        <f>IFERROR($P30-$Q30,"")</f>
        <v/>
      </c>
      <c r="CC30" s="63">
        <f>IFERROR($T30-$S30,"")</f>
        <v/>
      </c>
      <c r="CD30" s="33">
        <f>IFERROR($AH30-$AI30,"")</f>
        <v/>
      </c>
      <c r="CE30" s="62">
        <f>IFERROR(($AH30-$AI30)/$AH30,"")</f>
        <v/>
      </c>
      <c r="CF30" s="33">
        <f>IFERROR($AQ30-$AR30,"")</f>
        <v/>
      </c>
      <c r="CG30" s="61">
        <f>IFERROR($BO30-$BP30,"")</f>
        <v/>
      </c>
      <c r="CH30" s="61">
        <f>IFERROR($BI30-$BJ30,"")</f>
        <v/>
      </c>
      <c r="CI30" s="61">
        <f>IFERROR($BL30-$BM30,"")</f>
        <v/>
      </c>
      <c r="CJ30" s="61">
        <f>IFERROR($BF30-$BG30,"")</f>
        <v/>
      </c>
      <c r="CK30" s="33">
        <f>IFERROR($BC30-$BD30,"")</f>
        <v/>
      </c>
      <c r="CL30" s="29">
        <f>IF($A30="","",IF($AM30&lt;='Study_Setup'!$B$19,1,0))</f>
        <v/>
      </c>
      <c r="CM30" s="29">
        <f>IF($A30="","",IF(AND($BZ30&gt;='Study_Setup'!$B$16,$CC30&gt;='Study_Setup'!$B$17,$CE30&gt;='Study_Setup'!$B$18,$CL30=1),1,0))</f>
        <v/>
      </c>
      <c r="CN30" s="61">
        <f>IFERROR(40*MIN(1,$BZ30/'Study_Setup'!$B$16)+25*MIN(1,$CC30/'Study_Setup'!$B$17)+25*MIN(1,$CE30/'Study_Setup'!$B$18)+10*$CL30,"")</f>
        <v/>
      </c>
      <c r="CO30">
        <f>IF('Pasted_Exports'!BX30&lt;&gt;"",'Pasted_Exports'!BX30,'File_Intake'!BX30)</f>
        <v/>
      </c>
      <c r="CP30" s="57">
        <f>IF('Pasted_Exports'!BY30&lt;&gt;"",'Pasted_Exports'!BY30,'File_Intake'!BY30)</f>
        <v/>
      </c>
      <c r="CQ30" s="57">
        <f>IF('Pasted_Exports'!BZ30&lt;&gt;"",'Pasted_Exports'!BZ30,'File_Intake'!BZ30)</f>
        <v/>
      </c>
      <c r="CR30" s="57">
        <f>IF('Pasted_Exports'!CA30&lt;&gt;"",'Pasted_Exports'!CA30,'File_Intake'!CA30)</f>
        <v/>
      </c>
      <c r="CS30" s="58">
        <f>IF('Pasted_Exports'!CB30&lt;&gt;"",'Pasted_Exports'!CB30,'File_Intake'!CB30)</f>
        <v/>
      </c>
      <c r="CT30" s="59">
        <f>IF('Pasted_Exports'!CC30&lt;&gt;"",'Pasted_Exports'!CC30,'File_Intake'!CC30)</f>
        <v/>
      </c>
      <c r="CU30">
        <f>IF('Pasted_Exports'!CD30&lt;&gt;"",'Pasted_Exports'!CD30,'File_Intake'!CD30)</f>
        <v/>
      </c>
      <c r="CV30">
        <f>IF('Pasted_Exports'!CE30&lt;&gt;"",'Pasted_Exports'!CE30,'File_Intake'!CE30)</f>
        <v/>
      </c>
      <c r="CW30" s="60">
        <f>IF('Pasted_Exports'!CF30&lt;&gt;"",'Pasted_Exports'!CF30,'File_Intake'!CF30)</f>
        <v/>
      </c>
      <c r="CX30" s="60">
        <f>IF('Pasted_Exports'!CG30&lt;&gt;"",'Pasted_Exports'!CG30,'File_Intake'!CG30)</f>
        <v/>
      </c>
      <c r="CY30">
        <f>IF('Pasted_Exports'!CH30&lt;&gt;"",'Pasted_Exports'!CH30,'File_Intake'!CH30)</f>
        <v/>
      </c>
    </row>
    <row r="31">
      <c r="A31" s="24">
        <f>IF('Pasted_Exports'!A31&lt;&gt;"",'Pasted_Exports'!A31,'File_Intake'!A31)</f>
        <v/>
      </c>
      <c r="B31" s="24">
        <f>IF('Pasted_Exports'!B31&lt;&gt;"",'Pasted_Exports'!B31,'File_Intake'!B31)</f>
        <v/>
      </c>
      <c r="C31" s="24">
        <f>IF('Pasted_Exports'!C31&lt;&gt;"",'Pasted_Exports'!C31,'File_Intake'!C31)</f>
        <v/>
      </c>
      <c r="D31" s="24">
        <f>IF('Pasted_Exports'!D31&lt;&gt;"",'Pasted_Exports'!D31,'File_Intake'!D31)</f>
        <v/>
      </c>
      <c r="E31" s="55">
        <f>IF('Pasted_Exports'!E31&lt;&gt;"",'Pasted_Exports'!E31,'File_Intake'!E31)</f>
        <v/>
      </c>
      <c r="F31" s="26">
        <f>IF('Pasted_Exports'!F31&lt;&gt;"",'Pasted_Exports'!F31,'File_Intake'!F31)</f>
        <v/>
      </c>
      <c r="G31" s="26">
        <f>IF('Pasted_Exports'!G31&lt;&gt;"",'Pasted_Exports'!G31,'File_Intake'!G31)</f>
        <v/>
      </c>
      <c r="H31" s="47">
        <f>IF('Pasted_Exports'!H31&lt;&gt;"",'Pasted_Exports'!H31,'File_Intake'!H31)</f>
        <v/>
      </c>
      <c r="I31" s="26">
        <f>IF('Pasted_Exports'!I31&lt;&gt;"",'Pasted_Exports'!I31,'File_Intake'!I31)</f>
        <v/>
      </c>
      <c r="J31" s="26">
        <f>IF('Pasted_Exports'!J31&lt;&gt;"",'Pasted_Exports'!J31,'File_Intake'!J31)</f>
        <v/>
      </c>
      <c r="K31" s="47">
        <f>IF('Pasted_Exports'!K31&lt;&gt;"",'Pasted_Exports'!K31,'File_Intake'!K31)</f>
        <v/>
      </c>
      <c r="L31" s="47">
        <f>IF('Pasted_Exports'!L31&lt;&gt;"",'Pasted_Exports'!L31,'File_Intake'!L31)</f>
        <v/>
      </c>
      <c r="M31" s="47">
        <f>IF('Pasted_Exports'!M31&lt;&gt;"",'Pasted_Exports'!M31,'File_Intake'!M31)</f>
        <v/>
      </c>
      <c r="N31" s="47">
        <f>IF('Pasted_Exports'!N31&lt;&gt;"",'Pasted_Exports'!N31,'File_Intake'!N31)</f>
        <v/>
      </c>
      <c r="O31" s="47">
        <f>IF('Pasted_Exports'!O31&lt;&gt;"",'Pasted_Exports'!O31,'File_Intake'!O31)</f>
        <v/>
      </c>
      <c r="P31" s="27">
        <f>IF('Pasted_Exports'!P31&lt;&gt;"",'Pasted_Exports'!P31,'File_Intake'!P31)</f>
        <v/>
      </c>
      <c r="Q31" s="27">
        <f>IF('Pasted_Exports'!Q31&lt;&gt;"",'Pasted_Exports'!Q31,'File_Intake'!Q31)</f>
        <v/>
      </c>
      <c r="R31" s="27">
        <f>IF('Pasted_Exports'!R31&lt;&gt;"",'Pasted_Exports'!R31,'File_Intake'!R31)</f>
        <v/>
      </c>
      <c r="S31" s="56">
        <f>IF('Pasted_Exports'!S31&lt;&gt;"",'Pasted_Exports'!S31,'File_Intake'!S31)</f>
        <v/>
      </c>
      <c r="T31" s="56">
        <f>IF('Pasted_Exports'!T31&lt;&gt;"",'Pasted_Exports'!T31,'File_Intake'!T31)</f>
        <v/>
      </c>
      <c r="U31" s="56">
        <f>IF('Pasted_Exports'!U31&lt;&gt;"",'Pasted_Exports'!U31,'File_Intake'!U31)</f>
        <v/>
      </c>
      <c r="V31" s="56">
        <f>IF('Pasted_Exports'!V31&lt;&gt;"",'Pasted_Exports'!V31,'File_Intake'!V31)</f>
        <v/>
      </c>
      <c r="W31" s="56">
        <f>IF('Pasted_Exports'!W31&lt;&gt;"",'Pasted_Exports'!W31,'File_Intake'!W31)</f>
        <v/>
      </c>
      <c r="X31" s="56">
        <f>IF('Pasted_Exports'!X31&lt;&gt;"",'Pasted_Exports'!X31,'File_Intake'!X31)</f>
        <v/>
      </c>
      <c r="Y31" s="56">
        <f>IF('Pasted_Exports'!Y31&lt;&gt;"",'Pasted_Exports'!Y31,'File_Intake'!Y31)</f>
        <v/>
      </c>
      <c r="Z31" s="56">
        <f>IF('Pasted_Exports'!Z31&lt;&gt;"",'Pasted_Exports'!Z31,'File_Intake'!Z31)</f>
        <v/>
      </c>
      <c r="AA31" s="56">
        <f>IF('Pasted_Exports'!AA31&lt;&gt;"",'Pasted_Exports'!AA31,'File_Intake'!AA31)</f>
        <v/>
      </c>
      <c r="AB31" s="56">
        <f>IF('Pasted_Exports'!AB31&lt;&gt;"",'Pasted_Exports'!AB31,'File_Intake'!AB31)</f>
        <v/>
      </c>
      <c r="AC31" s="56">
        <f>IF('Pasted_Exports'!AC31&lt;&gt;"",'Pasted_Exports'!AC31,'File_Intake'!AC31)</f>
        <v/>
      </c>
      <c r="AD31" s="56">
        <f>IF('Pasted_Exports'!AD31&lt;&gt;"",'Pasted_Exports'!AD31,'File_Intake'!AD31)</f>
        <v/>
      </c>
      <c r="AE31" s="56">
        <f>IF('Pasted_Exports'!AE31&lt;&gt;"",'Pasted_Exports'!AE31,'File_Intake'!AE31)</f>
        <v/>
      </c>
      <c r="AF31" s="56">
        <f>IF('Pasted_Exports'!AF31&lt;&gt;"",'Pasted_Exports'!AF31,'File_Intake'!AF31)</f>
        <v/>
      </c>
      <c r="AG31" s="56">
        <f>IF('Pasted_Exports'!AG31&lt;&gt;"",'Pasted_Exports'!AG31,'File_Intake'!AG31)</f>
        <v/>
      </c>
      <c r="AH31" s="27">
        <f>IF('Pasted_Exports'!AH31&lt;&gt;"",'Pasted_Exports'!AH31,'File_Intake'!AH31)</f>
        <v/>
      </c>
      <c r="AI31" s="27">
        <f>IF('Pasted_Exports'!AI31&lt;&gt;"",'Pasted_Exports'!AI31,'File_Intake'!AI31)</f>
        <v/>
      </c>
      <c r="AJ31" s="27">
        <f>IF('Pasted_Exports'!AJ31&lt;&gt;"",'Pasted_Exports'!AJ31,'File_Intake'!AJ31)</f>
        <v/>
      </c>
      <c r="AK31" s="27">
        <f>IF('Pasted_Exports'!AK31&lt;&gt;"",'Pasted_Exports'!AK31,'File_Intake'!AK31)</f>
        <v/>
      </c>
      <c r="AL31" s="27">
        <f>IF('Pasted_Exports'!AL31&lt;&gt;"",'Pasted_Exports'!AL31,'File_Intake'!AL31)</f>
        <v/>
      </c>
      <c r="AM31" s="27">
        <f>IF('Pasted_Exports'!AM31&lt;&gt;"",'Pasted_Exports'!AM31,'File_Intake'!AM31)</f>
        <v/>
      </c>
      <c r="AN31" s="27">
        <f>IF('Pasted_Exports'!AN31&lt;&gt;"",'Pasted_Exports'!AN31,'File_Intake'!AN31)</f>
        <v/>
      </c>
      <c r="AO31" s="27">
        <f>IF('Pasted_Exports'!AO31&lt;&gt;"",'Pasted_Exports'!AO31,'File_Intake'!AO31)</f>
        <v/>
      </c>
      <c r="AP31" s="27">
        <f>IF('Pasted_Exports'!AP31&lt;&gt;"",'Pasted_Exports'!AP31,'File_Intake'!AP31)</f>
        <v/>
      </c>
      <c r="AQ31" s="27">
        <f>IF('Pasted_Exports'!AQ31&lt;&gt;"",'Pasted_Exports'!AQ31,'File_Intake'!AQ31)</f>
        <v/>
      </c>
      <c r="AR31" s="27">
        <f>IF('Pasted_Exports'!AR31&lt;&gt;"",'Pasted_Exports'!AR31,'File_Intake'!AR31)</f>
        <v/>
      </c>
      <c r="AS31" s="27">
        <f>IF('Pasted_Exports'!AS31&lt;&gt;"",'Pasted_Exports'!AS31,'File_Intake'!AS31)</f>
        <v/>
      </c>
      <c r="AT31" s="47">
        <f>IF('Pasted_Exports'!AT31&lt;&gt;"",'Pasted_Exports'!AT31,'File_Intake'!AT31)</f>
        <v/>
      </c>
      <c r="AU31" s="47">
        <f>IF('Pasted_Exports'!AU31&lt;&gt;"",'Pasted_Exports'!AU31,'File_Intake'!AU31)</f>
        <v/>
      </c>
      <c r="AV31" s="47">
        <f>IF('Pasted_Exports'!AV31&lt;&gt;"",'Pasted_Exports'!AV31,'File_Intake'!AV31)</f>
        <v/>
      </c>
      <c r="AW31" s="56">
        <f>IF('Pasted_Exports'!AW31&lt;&gt;"",'Pasted_Exports'!AW31,'File_Intake'!AW31)</f>
        <v/>
      </c>
      <c r="AX31" s="56">
        <f>IF('Pasted_Exports'!AX31&lt;&gt;"",'Pasted_Exports'!AX31,'File_Intake'!AX31)</f>
        <v/>
      </c>
      <c r="AY31" s="56">
        <f>IF('Pasted_Exports'!AY31&lt;&gt;"",'Pasted_Exports'!AY31,'File_Intake'!AY31)</f>
        <v/>
      </c>
      <c r="AZ31" s="47">
        <f>IF('Pasted_Exports'!AZ31&lt;&gt;"",'Pasted_Exports'!AZ31,'File_Intake'!AZ31)</f>
        <v/>
      </c>
      <c r="BA31" s="47">
        <f>IF('Pasted_Exports'!BA31&lt;&gt;"",'Pasted_Exports'!BA31,'File_Intake'!BA31)</f>
        <v/>
      </c>
      <c r="BB31" s="47">
        <f>IF('Pasted_Exports'!BB31&lt;&gt;"",'Pasted_Exports'!BB31,'File_Intake'!BB31)</f>
        <v/>
      </c>
      <c r="BC31" s="27">
        <f>IF('Pasted_Exports'!BC31&lt;&gt;"",'Pasted_Exports'!BC31,'File_Intake'!BC31)</f>
        <v/>
      </c>
      <c r="BD31" s="27">
        <f>IF('Pasted_Exports'!BD31&lt;&gt;"",'Pasted_Exports'!BD31,'File_Intake'!BD31)</f>
        <v/>
      </c>
      <c r="BE31" s="27">
        <f>IF('Pasted_Exports'!BE31&lt;&gt;"",'Pasted_Exports'!BE31,'File_Intake'!BE31)</f>
        <v/>
      </c>
      <c r="BF31" s="47">
        <f>IF('Pasted_Exports'!BF31&lt;&gt;"",'Pasted_Exports'!BF31,'File_Intake'!BF31)</f>
        <v/>
      </c>
      <c r="BG31" s="47">
        <f>IF('Pasted_Exports'!BG31&lt;&gt;"",'Pasted_Exports'!BG31,'File_Intake'!BG31)</f>
        <v/>
      </c>
      <c r="BH31" s="47">
        <f>IF('Pasted_Exports'!BH31&lt;&gt;"",'Pasted_Exports'!BH31,'File_Intake'!BH31)</f>
        <v/>
      </c>
      <c r="BI31" s="47">
        <f>IF('Pasted_Exports'!BI31&lt;&gt;"",'Pasted_Exports'!BI31,'File_Intake'!BI31)</f>
        <v/>
      </c>
      <c r="BJ31" s="47">
        <f>IF('Pasted_Exports'!BJ31&lt;&gt;"",'Pasted_Exports'!BJ31,'File_Intake'!BJ31)</f>
        <v/>
      </c>
      <c r="BK31" s="47">
        <f>IF('Pasted_Exports'!BK31&lt;&gt;"",'Pasted_Exports'!BK31,'File_Intake'!BK31)</f>
        <v/>
      </c>
      <c r="BL31" s="47">
        <f>IF('Pasted_Exports'!BL31&lt;&gt;"",'Pasted_Exports'!BL31,'File_Intake'!BL31)</f>
        <v/>
      </c>
      <c r="BM31" s="47">
        <f>IF('Pasted_Exports'!BM31&lt;&gt;"",'Pasted_Exports'!BM31,'File_Intake'!BM31)</f>
        <v/>
      </c>
      <c r="BN31" s="47">
        <f>IF('Pasted_Exports'!BN31&lt;&gt;"",'Pasted_Exports'!BN31,'File_Intake'!BN31)</f>
        <v/>
      </c>
      <c r="BO31" s="47">
        <f>IF('Pasted_Exports'!BO31&lt;&gt;"",'Pasted_Exports'!BO31,'File_Intake'!BO31)</f>
        <v/>
      </c>
      <c r="BP31" s="47">
        <f>IF('Pasted_Exports'!BP31&lt;&gt;"",'Pasted_Exports'!BP31,'File_Intake'!BP31)</f>
        <v/>
      </c>
      <c r="BQ31" s="47">
        <f>IF('Pasted_Exports'!BQ31&lt;&gt;"",'Pasted_Exports'!BQ31,'File_Intake'!BQ31)</f>
        <v/>
      </c>
      <c r="BR31" s="47">
        <f>IF('Pasted_Exports'!BR31&lt;&gt;"",'Pasted_Exports'!BR31,'File_Intake'!BR31)</f>
        <v/>
      </c>
      <c r="BS31" s="47">
        <f>IF('Pasted_Exports'!BS31&lt;&gt;"",'Pasted_Exports'!BS31,'File_Intake'!BS31)</f>
        <v/>
      </c>
      <c r="BT31" s="47">
        <f>IF('Pasted_Exports'!BT31&lt;&gt;"",'Pasted_Exports'!BT31,'File_Intake'!BT31)</f>
        <v/>
      </c>
      <c r="BU31" s="47">
        <f>IF('Pasted_Exports'!BU31&lt;&gt;"",'Pasted_Exports'!BU31,'File_Intake'!BU31)</f>
        <v/>
      </c>
      <c r="BV31" s="47">
        <f>IF('Pasted_Exports'!BV31&lt;&gt;"",'Pasted_Exports'!BV31,'File_Intake'!BV31)</f>
        <v/>
      </c>
      <c r="BW31" s="47">
        <f>IF('Pasted_Exports'!BW31&lt;&gt;"",'Pasted_Exports'!BW31,'File_Intake'!BW31)</f>
        <v/>
      </c>
      <c r="BX31" s="29">
        <f>IF(AND($A31&lt;&gt;"",$B31&lt;&gt;"",$K31&gt;='Study_Setup'!$B$14,$L31&gt;='Study_Setup'!$B$15),1,0)</f>
        <v/>
      </c>
      <c r="BY31" s="30">
        <f>IF($A31="","",TEXTJOIN("; ",TRUE,IF($B31="","Missing arm",""),IF($K31&lt;'Study_Setup'!$B$14,"Low off-days",""),IF($L31&lt;'Study_Setup'!$B$15,"Low on-days",""),IF($AM31&gt;'Study_Setup'!$B$19,"Hypo burden increased","")))</f>
        <v/>
      </c>
      <c r="BZ31" s="61">
        <f>IFERROR($M31-$N31,"")</f>
        <v/>
      </c>
      <c r="CA31" s="62">
        <f>IFERROR(($M31-$N31)/$M31,"")</f>
        <v/>
      </c>
      <c r="CB31" s="33">
        <f>IFERROR($P31-$Q31,"")</f>
        <v/>
      </c>
      <c r="CC31" s="63">
        <f>IFERROR($T31-$S31,"")</f>
        <v/>
      </c>
      <c r="CD31" s="33">
        <f>IFERROR($AH31-$AI31,"")</f>
        <v/>
      </c>
      <c r="CE31" s="62">
        <f>IFERROR(($AH31-$AI31)/$AH31,"")</f>
        <v/>
      </c>
      <c r="CF31" s="33">
        <f>IFERROR($AQ31-$AR31,"")</f>
        <v/>
      </c>
      <c r="CG31" s="61">
        <f>IFERROR($BO31-$BP31,"")</f>
        <v/>
      </c>
      <c r="CH31" s="61">
        <f>IFERROR($BI31-$BJ31,"")</f>
        <v/>
      </c>
      <c r="CI31" s="61">
        <f>IFERROR($BL31-$BM31,"")</f>
        <v/>
      </c>
      <c r="CJ31" s="61">
        <f>IFERROR($BF31-$BG31,"")</f>
        <v/>
      </c>
      <c r="CK31" s="33">
        <f>IFERROR($BC31-$BD31,"")</f>
        <v/>
      </c>
      <c r="CL31" s="29">
        <f>IF($A31="","",IF($AM31&lt;='Study_Setup'!$B$19,1,0))</f>
        <v/>
      </c>
      <c r="CM31" s="29">
        <f>IF($A31="","",IF(AND($BZ31&gt;='Study_Setup'!$B$16,$CC31&gt;='Study_Setup'!$B$17,$CE31&gt;='Study_Setup'!$B$18,$CL31=1),1,0))</f>
        <v/>
      </c>
      <c r="CN31" s="61">
        <f>IFERROR(40*MIN(1,$BZ31/'Study_Setup'!$B$16)+25*MIN(1,$CC31/'Study_Setup'!$B$17)+25*MIN(1,$CE31/'Study_Setup'!$B$18)+10*$CL31,"")</f>
        <v/>
      </c>
      <c r="CO31">
        <f>IF('Pasted_Exports'!BX31&lt;&gt;"",'Pasted_Exports'!BX31,'File_Intake'!BX31)</f>
        <v/>
      </c>
      <c r="CP31" s="57">
        <f>IF('Pasted_Exports'!BY31&lt;&gt;"",'Pasted_Exports'!BY31,'File_Intake'!BY31)</f>
        <v/>
      </c>
      <c r="CQ31" s="57">
        <f>IF('Pasted_Exports'!BZ31&lt;&gt;"",'Pasted_Exports'!BZ31,'File_Intake'!BZ31)</f>
        <v/>
      </c>
      <c r="CR31" s="57">
        <f>IF('Pasted_Exports'!CA31&lt;&gt;"",'Pasted_Exports'!CA31,'File_Intake'!CA31)</f>
        <v/>
      </c>
      <c r="CS31" s="58">
        <f>IF('Pasted_Exports'!CB31&lt;&gt;"",'Pasted_Exports'!CB31,'File_Intake'!CB31)</f>
        <v/>
      </c>
      <c r="CT31" s="59">
        <f>IF('Pasted_Exports'!CC31&lt;&gt;"",'Pasted_Exports'!CC31,'File_Intake'!CC31)</f>
        <v/>
      </c>
      <c r="CU31">
        <f>IF('Pasted_Exports'!CD31&lt;&gt;"",'Pasted_Exports'!CD31,'File_Intake'!CD31)</f>
        <v/>
      </c>
      <c r="CV31">
        <f>IF('Pasted_Exports'!CE31&lt;&gt;"",'Pasted_Exports'!CE31,'File_Intake'!CE31)</f>
        <v/>
      </c>
      <c r="CW31" s="60">
        <f>IF('Pasted_Exports'!CF31&lt;&gt;"",'Pasted_Exports'!CF31,'File_Intake'!CF31)</f>
        <v/>
      </c>
      <c r="CX31" s="60">
        <f>IF('Pasted_Exports'!CG31&lt;&gt;"",'Pasted_Exports'!CG31,'File_Intake'!CG31)</f>
        <v/>
      </c>
      <c r="CY31">
        <f>IF('Pasted_Exports'!CH31&lt;&gt;"",'Pasted_Exports'!CH31,'File_Intake'!CH31)</f>
        <v/>
      </c>
    </row>
    <row r="32">
      <c r="A32" s="24">
        <f>IF('Pasted_Exports'!A32&lt;&gt;"",'Pasted_Exports'!A32,'File_Intake'!A32)</f>
        <v/>
      </c>
      <c r="B32" s="24">
        <f>IF('Pasted_Exports'!B32&lt;&gt;"",'Pasted_Exports'!B32,'File_Intake'!B32)</f>
        <v/>
      </c>
      <c r="C32" s="24">
        <f>IF('Pasted_Exports'!C32&lt;&gt;"",'Pasted_Exports'!C32,'File_Intake'!C32)</f>
        <v/>
      </c>
      <c r="D32" s="24">
        <f>IF('Pasted_Exports'!D32&lt;&gt;"",'Pasted_Exports'!D32,'File_Intake'!D32)</f>
        <v/>
      </c>
      <c r="E32" s="55">
        <f>IF('Pasted_Exports'!E32&lt;&gt;"",'Pasted_Exports'!E32,'File_Intake'!E32)</f>
        <v/>
      </c>
      <c r="F32" s="26">
        <f>IF('Pasted_Exports'!F32&lt;&gt;"",'Pasted_Exports'!F32,'File_Intake'!F32)</f>
        <v/>
      </c>
      <c r="G32" s="26">
        <f>IF('Pasted_Exports'!G32&lt;&gt;"",'Pasted_Exports'!G32,'File_Intake'!G32)</f>
        <v/>
      </c>
      <c r="H32" s="47">
        <f>IF('Pasted_Exports'!H32&lt;&gt;"",'Pasted_Exports'!H32,'File_Intake'!H32)</f>
        <v/>
      </c>
      <c r="I32" s="26">
        <f>IF('Pasted_Exports'!I32&lt;&gt;"",'Pasted_Exports'!I32,'File_Intake'!I32)</f>
        <v/>
      </c>
      <c r="J32" s="26">
        <f>IF('Pasted_Exports'!J32&lt;&gt;"",'Pasted_Exports'!J32,'File_Intake'!J32)</f>
        <v/>
      </c>
      <c r="K32" s="47">
        <f>IF('Pasted_Exports'!K32&lt;&gt;"",'Pasted_Exports'!K32,'File_Intake'!K32)</f>
        <v/>
      </c>
      <c r="L32" s="47">
        <f>IF('Pasted_Exports'!L32&lt;&gt;"",'Pasted_Exports'!L32,'File_Intake'!L32)</f>
        <v/>
      </c>
      <c r="M32" s="47">
        <f>IF('Pasted_Exports'!M32&lt;&gt;"",'Pasted_Exports'!M32,'File_Intake'!M32)</f>
        <v/>
      </c>
      <c r="N32" s="47">
        <f>IF('Pasted_Exports'!N32&lt;&gt;"",'Pasted_Exports'!N32,'File_Intake'!N32)</f>
        <v/>
      </c>
      <c r="O32" s="47">
        <f>IF('Pasted_Exports'!O32&lt;&gt;"",'Pasted_Exports'!O32,'File_Intake'!O32)</f>
        <v/>
      </c>
      <c r="P32" s="27">
        <f>IF('Pasted_Exports'!P32&lt;&gt;"",'Pasted_Exports'!P32,'File_Intake'!P32)</f>
        <v/>
      </c>
      <c r="Q32" s="27">
        <f>IF('Pasted_Exports'!Q32&lt;&gt;"",'Pasted_Exports'!Q32,'File_Intake'!Q32)</f>
        <v/>
      </c>
      <c r="R32" s="27">
        <f>IF('Pasted_Exports'!R32&lt;&gt;"",'Pasted_Exports'!R32,'File_Intake'!R32)</f>
        <v/>
      </c>
      <c r="S32" s="56">
        <f>IF('Pasted_Exports'!S32&lt;&gt;"",'Pasted_Exports'!S32,'File_Intake'!S32)</f>
        <v/>
      </c>
      <c r="T32" s="56">
        <f>IF('Pasted_Exports'!T32&lt;&gt;"",'Pasted_Exports'!T32,'File_Intake'!T32)</f>
        <v/>
      </c>
      <c r="U32" s="56">
        <f>IF('Pasted_Exports'!U32&lt;&gt;"",'Pasted_Exports'!U32,'File_Intake'!U32)</f>
        <v/>
      </c>
      <c r="V32" s="56">
        <f>IF('Pasted_Exports'!V32&lt;&gt;"",'Pasted_Exports'!V32,'File_Intake'!V32)</f>
        <v/>
      </c>
      <c r="W32" s="56">
        <f>IF('Pasted_Exports'!W32&lt;&gt;"",'Pasted_Exports'!W32,'File_Intake'!W32)</f>
        <v/>
      </c>
      <c r="X32" s="56">
        <f>IF('Pasted_Exports'!X32&lt;&gt;"",'Pasted_Exports'!X32,'File_Intake'!X32)</f>
        <v/>
      </c>
      <c r="Y32" s="56">
        <f>IF('Pasted_Exports'!Y32&lt;&gt;"",'Pasted_Exports'!Y32,'File_Intake'!Y32)</f>
        <v/>
      </c>
      <c r="Z32" s="56">
        <f>IF('Pasted_Exports'!Z32&lt;&gt;"",'Pasted_Exports'!Z32,'File_Intake'!Z32)</f>
        <v/>
      </c>
      <c r="AA32" s="56">
        <f>IF('Pasted_Exports'!AA32&lt;&gt;"",'Pasted_Exports'!AA32,'File_Intake'!AA32)</f>
        <v/>
      </c>
      <c r="AB32" s="56">
        <f>IF('Pasted_Exports'!AB32&lt;&gt;"",'Pasted_Exports'!AB32,'File_Intake'!AB32)</f>
        <v/>
      </c>
      <c r="AC32" s="56">
        <f>IF('Pasted_Exports'!AC32&lt;&gt;"",'Pasted_Exports'!AC32,'File_Intake'!AC32)</f>
        <v/>
      </c>
      <c r="AD32" s="56">
        <f>IF('Pasted_Exports'!AD32&lt;&gt;"",'Pasted_Exports'!AD32,'File_Intake'!AD32)</f>
        <v/>
      </c>
      <c r="AE32" s="56">
        <f>IF('Pasted_Exports'!AE32&lt;&gt;"",'Pasted_Exports'!AE32,'File_Intake'!AE32)</f>
        <v/>
      </c>
      <c r="AF32" s="56">
        <f>IF('Pasted_Exports'!AF32&lt;&gt;"",'Pasted_Exports'!AF32,'File_Intake'!AF32)</f>
        <v/>
      </c>
      <c r="AG32" s="56">
        <f>IF('Pasted_Exports'!AG32&lt;&gt;"",'Pasted_Exports'!AG32,'File_Intake'!AG32)</f>
        <v/>
      </c>
      <c r="AH32" s="27">
        <f>IF('Pasted_Exports'!AH32&lt;&gt;"",'Pasted_Exports'!AH32,'File_Intake'!AH32)</f>
        <v/>
      </c>
      <c r="AI32" s="27">
        <f>IF('Pasted_Exports'!AI32&lt;&gt;"",'Pasted_Exports'!AI32,'File_Intake'!AI32)</f>
        <v/>
      </c>
      <c r="AJ32" s="27">
        <f>IF('Pasted_Exports'!AJ32&lt;&gt;"",'Pasted_Exports'!AJ32,'File_Intake'!AJ32)</f>
        <v/>
      </c>
      <c r="AK32" s="27">
        <f>IF('Pasted_Exports'!AK32&lt;&gt;"",'Pasted_Exports'!AK32,'File_Intake'!AK32)</f>
        <v/>
      </c>
      <c r="AL32" s="27">
        <f>IF('Pasted_Exports'!AL32&lt;&gt;"",'Pasted_Exports'!AL32,'File_Intake'!AL32)</f>
        <v/>
      </c>
      <c r="AM32" s="27">
        <f>IF('Pasted_Exports'!AM32&lt;&gt;"",'Pasted_Exports'!AM32,'File_Intake'!AM32)</f>
        <v/>
      </c>
      <c r="AN32" s="27">
        <f>IF('Pasted_Exports'!AN32&lt;&gt;"",'Pasted_Exports'!AN32,'File_Intake'!AN32)</f>
        <v/>
      </c>
      <c r="AO32" s="27">
        <f>IF('Pasted_Exports'!AO32&lt;&gt;"",'Pasted_Exports'!AO32,'File_Intake'!AO32)</f>
        <v/>
      </c>
      <c r="AP32" s="27">
        <f>IF('Pasted_Exports'!AP32&lt;&gt;"",'Pasted_Exports'!AP32,'File_Intake'!AP32)</f>
        <v/>
      </c>
      <c r="AQ32" s="27">
        <f>IF('Pasted_Exports'!AQ32&lt;&gt;"",'Pasted_Exports'!AQ32,'File_Intake'!AQ32)</f>
        <v/>
      </c>
      <c r="AR32" s="27">
        <f>IF('Pasted_Exports'!AR32&lt;&gt;"",'Pasted_Exports'!AR32,'File_Intake'!AR32)</f>
        <v/>
      </c>
      <c r="AS32" s="27">
        <f>IF('Pasted_Exports'!AS32&lt;&gt;"",'Pasted_Exports'!AS32,'File_Intake'!AS32)</f>
        <v/>
      </c>
      <c r="AT32" s="47">
        <f>IF('Pasted_Exports'!AT32&lt;&gt;"",'Pasted_Exports'!AT32,'File_Intake'!AT32)</f>
        <v/>
      </c>
      <c r="AU32" s="47">
        <f>IF('Pasted_Exports'!AU32&lt;&gt;"",'Pasted_Exports'!AU32,'File_Intake'!AU32)</f>
        <v/>
      </c>
      <c r="AV32" s="47">
        <f>IF('Pasted_Exports'!AV32&lt;&gt;"",'Pasted_Exports'!AV32,'File_Intake'!AV32)</f>
        <v/>
      </c>
      <c r="AW32" s="56">
        <f>IF('Pasted_Exports'!AW32&lt;&gt;"",'Pasted_Exports'!AW32,'File_Intake'!AW32)</f>
        <v/>
      </c>
      <c r="AX32" s="56">
        <f>IF('Pasted_Exports'!AX32&lt;&gt;"",'Pasted_Exports'!AX32,'File_Intake'!AX32)</f>
        <v/>
      </c>
      <c r="AY32" s="56">
        <f>IF('Pasted_Exports'!AY32&lt;&gt;"",'Pasted_Exports'!AY32,'File_Intake'!AY32)</f>
        <v/>
      </c>
      <c r="AZ32" s="47">
        <f>IF('Pasted_Exports'!AZ32&lt;&gt;"",'Pasted_Exports'!AZ32,'File_Intake'!AZ32)</f>
        <v/>
      </c>
      <c r="BA32" s="47">
        <f>IF('Pasted_Exports'!BA32&lt;&gt;"",'Pasted_Exports'!BA32,'File_Intake'!BA32)</f>
        <v/>
      </c>
      <c r="BB32" s="47">
        <f>IF('Pasted_Exports'!BB32&lt;&gt;"",'Pasted_Exports'!BB32,'File_Intake'!BB32)</f>
        <v/>
      </c>
      <c r="BC32" s="27">
        <f>IF('Pasted_Exports'!BC32&lt;&gt;"",'Pasted_Exports'!BC32,'File_Intake'!BC32)</f>
        <v/>
      </c>
      <c r="BD32" s="27">
        <f>IF('Pasted_Exports'!BD32&lt;&gt;"",'Pasted_Exports'!BD32,'File_Intake'!BD32)</f>
        <v/>
      </c>
      <c r="BE32" s="27">
        <f>IF('Pasted_Exports'!BE32&lt;&gt;"",'Pasted_Exports'!BE32,'File_Intake'!BE32)</f>
        <v/>
      </c>
      <c r="BF32" s="47">
        <f>IF('Pasted_Exports'!BF32&lt;&gt;"",'Pasted_Exports'!BF32,'File_Intake'!BF32)</f>
        <v/>
      </c>
      <c r="BG32" s="47">
        <f>IF('Pasted_Exports'!BG32&lt;&gt;"",'Pasted_Exports'!BG32,'File_Intake'!BG32)</f>
        <v/>
      </c>
      <c r="BH32" s="47">
        <f>IF('Pasted_Exports'!BH32&lt;&gt;"",'Pasted_Exports'!BH32,'File_Intake'!BH32)</f>
        <v/>
      </c>
      <c r="BI32" s="47">
        <f>IF('Pasted_Exports'!BI32&lt;&gt;"",'Pasted_Exports'!BI32,'File_Intake'!BI32)</f>
        <v/>
      </c>
      <c r="BJ32" s="47">
        <f>IF('Pasted_Exports'!BJ32&lt;&gt;"",'Pasted_Exports'!BJ32,'File_Intake'!BJ32)</f>
        <v/>
      </c>
      <c r="BK32" s="47">
        <f>IF('Pasted_Exports'!BK32&lt;&gt;"",'Pasted_Exports'!BK32,'File_Intake'!BK32)</f>
        <v/>
      </c>
      <c r="BL32" s="47">
        <f>IF('Pasted_Exports'!BL32&lt;&gt;"",'Pasted_Exports'!BL32,'File_Intake'!BL32)</f>
        <v/>
      </c>
      <c r="BM32" s="47">
        <f>IF('Pasted_Exports'!BM32&lt;&gt;"",'Pasted_Exports'!BM32,'File_Intake'!BM32)</f>
        <v/>
      </c>
      <c r="BN32" s="47">
        <f>IF('Pasted_Exports'!BN32&lt;&gt;"",'Pasted_Exports'!BN32,'File_Intake'!BN32)</f>
        <v/>
      </c>
      <c r="BO32" s="47">
        <f>IF('Pasted_Exports'!BO32&lt;&gt;"",'Pasted_Exports'!BO32,'File_Intake'!BO32)</f>
        <v/>
      </c>
      <c r="BP32" s="47">
        <f>IF('Pasted_Exports'!BP32&lt;&gt;"",'Pasted_Exports'!BP32,'File_Intake'!BP32)</f>
        <v/>
      </c>
      <c r="BQ32" s="47">
        <f>IF('Pasted_Exports'!BQ32&lt;&gt;"",'Pasted_Exports'!BQ32,'File_Intake'!BQ32)</f>
        <v/>
      </c>
      <c r="BR32" s="47">
        <f>IF('Pasted_Exports'!BR32&lt;&gt;"",'Pasted_Exports'!BR32,'File_Intake'!BR32)</f>
        <v/>
      </c>
      <c r="BS32" s="47">
        <f>IF('Pasted_Exports'!BS32&lt;&gt;"",'Pasted_Exports'!BS32,'File_Intake'!BS32)</f>
        <v/>
      </c>
      <c r="BT32" s="47">
        <f>IF('Pasted_Exports'!BT32&lt;&gt;"",'Pasted_Exports'!BT32,'File_Intake'!BT32)</f>
        <v/>
      </c>
      <c r="BU32" s="47">
        <f>IF('Pasted_Exports'!BU32&lt;&gt;"",'Pasted_Exports'!BU32,'File_Intake'!BU32)</f>
        <v/>
      </c>
      <c r="BV32" s="47">
        <f>IF('Pasted_Exports'!BV32&lt;&gt;"",'Pasted_Exports'!BV32,'File_Intake'!BV32)</f>
        <v/>
      </c>
      <c r="BW32" s="47">
        <f>IF('Pasted_Exports'!BW32&lt;&gt;"",'Pasted_Exports'!BW32,'File_Intake'!BW32)</f>
        <v/>
      </c>
      <c r="BX32" s="29">
        <f>IF(AND($A32&lt;&gt;"",$B32&lt;&gt;"",$K32&gt;='Study_Setup'!$B$14,$L32&gt;='Study_Setup'!$B$15),1,0)</f>
        <v/>
      </c>
      <c r="BY32" s="30">
        <f>IF($A32="","",TEXTJOIN("; ",TRUE,IF($B32="","Missing arm",""),IF($K32&lt;'Study_Setup'!$B$14,"Low off-days",""),IF($L32&lt;'Study_Setup'!$B$15,"Low on-days",""),IF($AM32&gt;'Study_Setup'!$B$19,"Hypo burden increased","")))</f>
        <v/>
      </c>
      <c r="BZ32" s="61">
        <f>IFERROR($M32-$N32,"")</f>
        <v/>
      </c>
      <c r="CA32" s="62">
        <f>IFERROR(($M32-$N32)/$M32,"")</f>
        <v/>
      </c>
      <c r="CB32" s="33">
        <f>IFERROR($P32-$Q32,"")</f>
        <v/>
      </c>
      <c r="CC32" s="63">
        <f>IFERROR($T32-$S32,"")</f>
        <v/>
      </c>
      <c r="CD32" s="33">
        <f>IFERROR($AH32-$AI32,"")</f>
        <v/>
      </c>
      <c r="CE32" s="62">
        <f>IFERROR(($AH32-$AI32)/$AH32,"")</f>
        <v/>
      </c>
      <c r="CF32" s="33">
        <f>IFERROR($AQ32-$AR32,"")</f>
        <v/>
      </c>
      <c r="CG32" s="61">
        <f>IFERROR($BO32-$BP32,"")</f>
        <v/>
      </c>
      <c r="CH32" s="61">
        <f>IFERROR($BI32-$BJ32,"")</f>
        <v/>
      </c>
      <c r="CI32" s="61">
        <f>IFERROR($BL32-$BM32,"")</f>
        <v/>
      </c>
      <c r="CJ32" s="61">
        <f>IFERROR($BF32-$BG32,"")</f>
        <v/>
      </c>
      <c r="CK32" s="33">
        <f>IFERROR($BC32-$BD32,"")</f>
        <v/>
      </c>
      <c r="CL32" s="29">
        <f>IF($A32="","",IF($AM32&lt;='Study_Setup'!$B$19,1,0))</f>
        <v/>
      </c>
      <c r="CM32" s="29">
        <f>IF($A32="","",IF(AND($BZ32&gt;='Study_Setup'!$B$16,$CC32&gt;='Study_Setup'!$B$17,$CE32&gt;='Study_Setup'!$B$18,$CL32=1),1,0))</f>
        <v/>
      </c>
      <c r="CN32" s="61">
        <f>IFERROR(40*MIN(1,$BZ32/'Study_Setup'!$B$16)+25*MIN(1,$CC32/'Study_Setup'!$B$17)+25*MIN(1,$CE32/'Study_Setup'!$B$18)+10*$CL32,"")</f>
        <v/>
      </c>
      <c r="CO32">
        <f>IF('Pasted_Exports'!BX32&lt;&gt;"",'Pasted_Exports'!BX32,'File_Intake'!BX32)</f>
        <v/>
      </c>
      <c r="CP32" s="57">
        <f>IF('Pasted_Exports'!BY32&lt;&gt;"",'Pasted_Exports'!BY32,'File_Intake'!BY32)</f>
        <v/>
      </c>
      <c r="CQ32" s="57">
        <f>IF('Pasted_Exports'!BZ32&lt;&gt;"",'Pasted_Exports'!BZ32,'File_Intake'!BZ32)</f>
        <v/>
      </c>
      <c r="CR32" s="57">
        <f>IF('Pasted_Exports'!CA32&lt;&gt;"",'Pasted_Exports'!CA32,'File_Intake'!CA32)</f>
        <v/>
      </c>
      <c r="CS32" s="58">
        <f>IF('Pasted_Exports'!CB32&lt;&gt;"",'Pasted_Exports'!CB32,'File_Intake'!CB32)</f>
        <v/>
      </c>
      <c r="CT32" s="59">
        <f>IF('Pasted_Exports'!CC32&lt;&gt;"",'Pasted_Exports'!CC32,'File_Intake'!CC32)</f>
        <v/>
      </c>
      <c r="CU32">
        <f>IF('Pasted_Exports'!CD32&lt;&gt;"",'Pasted_Exports'!CD32,'File_Intake'!CD32)</f>
        <v/>
      </c>
      <c r="CV32">
        <f>IF('Pasted_Exports'!CE32&lt;&gt;"",'Pasted_Exports'!CE32,'File_Intake'!CE32)</f>
        <v/>
      </c>
      <c r="CW32" s="60">
        <f>IF('Pasted_Exports'!CF32&lt;&gt;"",'Pasted_Exports'!CF32,'File_Intake'!CF32)</f>
        <v/>
      </c>
      <c r="CX32" s="60">
        <f>IF('Pasted_Exports'!CG32&lt;&gt;"",'Pasted_Exports'!CG32,'File_Intake'!CG32)</f>
        <v/>
      </c>
      <c r="CY32">
        <f>IF('Pasted_Exports'!CH32&lt;&gt;"",'Pasted_Exports'!CH32,'File_Intake'!CH32)</f>
        <v/>
      </c>
    </row>
    <row r="33">
      <c r="A33" s="24">
        <f>IF('Pasted_Exports'!A33&lt;&gt;"",'Pasted_Exports'!A33,'File_Intake'!A33)</f>
        <v/>
      </c>
      <c r="B33" s="24">
        <f>IF('Pasted_Exports'!B33&lt;&gt;"",'Pasted_Exports'!B33,'File_Intake'!B33)</f>
        <v/>
      </c>
      <c r="C33" s="24">
        <f>IF('Pasted_Exports'!C33&lt;&gt;"",'Pasted_Exports'!C33,'File_Intake'!C33)</f>
        <v/>
      </c>
      <c r="D33" s="24">
        <f>IF('Pasted_Exports'!D33&lt;&gt;"",'Pasted_Exports'!D33,'File_Intake'!D33)</f>
        <v/>
      </c>
      <c r="E33" s="55">
        <f>IF('Pasted_Exports'!E33&lt;&gt;"",'Pasted_Exports'!E33,'File_Intake'!E33)</f>
        <v/>
      </c>
      <c r="F33" s="26">
        <f>IF('Pasted_Exports'!F33&lt;&gt;"",'Pasted_Exports'!F33,'File_Intake'!F33)</f>
        <v/>
      </c>
      <c r="G33" s="26">
        <f>IF('Pasted_Exports'!G33&lt;&gt;"",'Pasted_Exports'!G33,'File_Intake'!G33)</f>
        <v/>
      </c>
      <c r="H33" s="47">
        <f>IF('Pasted_Exports'!H33&lt;&gt;"",'Pasted_Exports'!H33,'File_Intake'!H33)</f>
        <v/>
      </c>
      <c r="I33" s="26">
        <f>IF('Pasted_Exports'!I33&lt;&gt;"",'Pasted_Exports'!I33,'File_Intake'!I33)</f>
        <v/>
      </c>
      <c r="J33" s="26">
        <f>IF('Pasted_Exports'!J33&lt;&gt;"",'Pasted_Exports'!J33,'File_Intake'!J33)</f>
        <v/>
      </c>
      <c r="K33" s="47">
        <f>IF('Pasted_Exports'!K33&lt;&gt;"",'Pasted_Exports'!K33,'File_Intake'!K33)</f>
        <v/>
      </c>
      <c r="L33" s="47">
        <f>IF('Pasted_Exports'!L33&lt;&gt;"",'Pasted_Exports'!L33,'File_Intake'!L33)</f>
        <v/>
      </c>
      <c r="M33" s="47">
        <f>IF('Pasted_Exports'!M33&lt;&gt;"",'Pasted_Exports'!M33,'File_Intake'!M33)</f>
        <v/>
      </c>
      <c r="N33" s="47">
        <f>IF('Pasted_Exports'!N33&lt;&gt;"",'Pasted_Exports'!N33,'File_Intake'!N33)</f>
        <v/>
      </c>
      <c r="O33" s="47">
        <f>IF('Pasted_Exports'!O33&lt;&gt;"",'Pasted_Exports'!O33,'File_Intake'!O33)</f>
        <v/>
      </c>
      <c r="P33" s="27">
        <f>IF('Pasted_Exports'!P33&lt;&gt;"",'Pasted_Exports'!P33,'File_Intake'!P33)</f>
        <v/>
      </c>
      <c r="Q33" s="27">
        <f>IF('Pasted_Exports'!Q33&lt;&gt;"",'Pasted_Exports'!Q33,'File_Intake'!Q33)</f>
        <v/>
      </c>
      <c r="R33" s="27">
        <f>IF('Pasted_Exports'!R33&lt;&gt;"",'Pasted_Exports'!R33,'File_Intake'!R33)</f>
        <v/>
      </c>
      <c r="S33" s="56">
        <f>IF('Pasted_Exports'!S33&lt;&gt;"",'Pasted_Exports'!S33,'File_Intake'!S33)</f>
        <v/>
      </c>
      <c r="T33" s="56">
        <f>IF('Pasted_Exports'!T33&lt;&gt;"",'Pasted_Exports'!T33,'File_Intake'!T33)</f>
        <v/>
      </c>
      <c r="U33" s="56">
        <f>IF('Pasted_Exports'!U33&lt;&gt;"",'Pasted_Exports'!U33,'File_Intake'!U33)</f>
        <v/>
      </c>
      <c r="V33" s="56">
        <f>IF('Pasted_Exports'!V33&lt;&gt;"",'Pasted_Exports'!V33,'File_Intake'!V33)</f>
        <v/>
      </c>
      <c r="W33" s="56">
        <f>IF('Pasted_Exports'!W33&lt;&gt;"",'Pasted_Exports'!W33,'File_Intake'!W33)</f>
        <v/>
      </c>
      <c r="X33" s="56">
        <f>IF('Pasted_Exports'!X33&lt;&gt;"",'Pasted_Exports'!X33,'File_Intake'!X33)</f>
        <v/>
      </c>
      <c r="Y33" s="56">
        <f>IF('Pasted_Exports'!Y33&lt;&gt;"",'Pasted_Exports'!Y33,'File_Intake'!Y33)</f>
        <v/>
      </c>
      <c r="Z33" s="56">
        <f>IF('Pasted_Exports'!Z33&lt;&gt;"",'Pasted_Exports'!Z33,'File_Intake'!Z33)</f>
        <v/>
      </c>
      <c r="AA33" s="56">
        <f>IF('Pasted_Exports'!AA33&lt;&gt;"",'Pasted_Exports'!AA33,'File_Intake'!AA33)</f>
        <v/>
      </c>
      <c r="AB33" s="56">
        <f>IF('Pasted_Exports'!AB33&lt;&gt;"",'Pasted_Exports'!AB33,'File_Intake'!AB33)</f>
        <v/>
      </c>
      <c r="AC33" s="56">
        <f>IF('Pasted_Exports'!AC33&lt;&gt;"",'Pasted_Exports'!AC33,'File_Intake'!AC33)</f>
        <v/>
      </c>
      <c r="AD33" s="56">
        <f>IF('Pasted_Exports'!AD33&lt;&gt;"",'Pasted_Exports'!AD33,'File_Intake'!AD33)</f>
        <v/>
      </c>
      <c r="AE33" s="56">
        <f>IF('Pasted_Exports'!AE33&lt;&gt;"",'Pasted_Exports'!AE33,'File_Intake'!AE33)</f>
        <v/>
      </c>
      <c r="AF33" s="56">
        <f>IF('Pasted_Exports'!AF33&lt;&gt;"",'Pasted_Exports'!AF33,'File_Intake'!AF33)</f>
        <v/>
      </c>
      <c r="AG33" s="56">
        <f>IF('Pasted_Exports'!AG33&lt;&gt;"",'Pasted_Exports'!AG33,'File_Intake'!AG33)</f>
        <v/>
      </c>
      <c r="AH33" s="27">
        <f>IF('Pasted_Exports'!AH33&lt;&gt;"",'Pasted_Exports'!AH33,'File_Intake'!AH33)</f>
        <v/>
      </c>
      <c r="AI33" s="27">
        <f>IF('Pasted_Exports'!AI33&lt;&gt;"",'Pasted_Exports'!AI33,'File_Intake'!AI33)</f>
        <v/>
      </c>
      <c r="AJ33" s="27">
        <f>IF('Pasted_Exports'!AJ33&lt;&gt;"",'Pasted_Exports'!AJ33,'File_Intake'!AJ33)</f>
        <v/>
      </c>
      <c r="AK33" s="27">
        <f>IF('Pasted_Exports'!AK33&lt;&gt;"",'Pasted_Exports'!AK33,'File_Intake'!AK33)</f>
        <v/>
      </c>
      <c r="AL33" s="27">
        <f>IF('Pasted_Exports'!AL33&lt;&gt;"",'Pasted_Exports'!AL33,'File_Intake'!AL33)</f>
        <v/>
      </c>
      <c r="AM33" s="27">
        <f>IF('Pasted_Exports'!AM33&lt;&gt;"",'Pasted_Exports'!AM33,'File_Intake'!AM33)</f>
        <v/>
      </c>
      <c r="AN33" s="27">
        <f>IF('Pasted_Exports'!AN33&lt;&gt;"",'Pasted_Exports'!AN33,'File_Intake'!AN33)</f>
        <v/>
      </c>
      <c r="AO33" s="27">
        <f>IF('Pasted_Exports'!AO33&lt;&gt;"",'Pasted_Exports'!AO33,'File_Intake'!AO33)</f>
        <v/>
      </c>
      <c r="AP33" s="27">
        <f>IF('Pasted_Exports'!AP33&lt;&gt;"",'Pasted_Exports'!AP33,'File_Intake'!AP33)</f>
        <v/>
      </c>
      <c r="AQ33" s="27">
        <f>IF('Pasted_Exports'!AQ33&lt;&gt;"",'Pasted_Exports'!AQ33,'File_Intake'!AQ33)</f>
        <v/>
      </c>
      <c r="AR33" s="27">
        <f>IF('Pasted_Exports'!AR33&lt;&gt;"",'Pasted_Exports'!AR33,'File_Intake'!AR33)</f>
        <v/>
      </c>
      <c r="AS33" s="27">
        <f>IF('Pasted_Exports'!AS33&lt;&gt;"",'Pasted_Exports'!AS33,'File_Intake'!AS33)</f>
        <v/>
      </c>
      <c r="AT33" s="47">
        <f>IF('Pasted_Exports'!AT33&lt;&gt;"",'Pasted_Exports'!AT33,'File_Intake'!AT33)</f>
        <v/>
      </c>
      <c r="AU33" s="47">
        <f>IF('Pasted_Exports'!AU33&lt;&gt;"",'Pasted_Exports'!AU33,'File_Intake'!AU33)</f>
        <v/>
      </c>
      <c r="AV33" s="47">
        <f>IF('Pasted_Exports'!AV33&lt;&gt;"",'Pasted_Exports'!AV33,'File_Intake'!AV33)</f>
        <v/>
      </c>
      <c r="AW33" s="56">
        <f>IF('Pasted_Exports'!AW33&lt;&gt;"",'Pasted_Exports'!AW33,'File_Intake'!AW33)</f>
        <v/>
      </c>
      <c r="AX33" s="56">
        <f>IF('Pasted_Exports'!AX33&lt;&gt;"",'Pasted_Exports'!AX33,'File_Intake'!AX33)</f>
        <v/>
      </c>
      <c r="AY33" s="56">
        <f>IF('Pasted_Exports'!AY33&lt;&gt;"",'Pasted_Exports'!AY33,'File_Intake'!AY33)</f>
        <v/>
      </c>
      <c r="AZ33" s="47">
        <f>IF('Pasted_Exports'!AZ33&lt;&gt;"",'Pasted_Exports'!AZ33,'File_Intake'!AZ33)</f>
        <v/>
      </c>
      <c r="BA33" s="47">
        <f>IF('Pasted_Exports'!BA33&lt;&gt;"",'Pasted_Exports'!BA33,'File_Intake'!BA33)</f>
        <v/>
      </c>
      <c r="BB33" s="47">
        <f>IF('Pasted_Exports'!BB33&lt;&gt;"",'Pasted_Exports'!BB33,'File_Intake'!BB33)</f>
        <v/>
      </c>
      <c r="BC33" s="27">
        <f>IF('Pasted_Exports'!BC33&lt;&gt;"",'Pasted_Exports'!BC33,'File_Intake'!BC33)</f>
        <v/>
      </c>
      <c r="BD33" s="27">
        <f>IF('Pasted_Exports'!BD33&lt;&gt;"",'Pasted_Exports'!BD33,'File_Intake'!BD33)</f>
        <v/>
      </c>
      <c r="BE33" s="27">
        <f>IF('Pasted_Exports'!BE33&lt;&gt;"",'Pasted_Exports'!BE33,'File_Intake'!BE33)</f>
        <v/>
      </c>
      <c r="BF33" s="47">
        <f>IF('Pasted_Exports'!BF33&lt;&gt;"",'Pasted_Exports'!BF33,'File_Intake'!BF33)</f>
        <v/>
      </c>
      <c r="BG33" s="47">
        <f>IF('Pasted_Exports'!BG33&lt;&gt;"",'Pasted_Exports'!BG33,'File_Intake'!BG33)</f>
        <v/>
      </c>
      <c r="BH33" s="47">
        <f>IF('Pasted_Exports'!BH33&lt;&gt;"",'Pasted_Exports'!BH33,'File_Intake'!BH33)</f>
        <v/>
      </c>
      <c r="BI33" s="47">
        <f>IF('Pasted_Exports'!BI33&lt;&gt;"",'Pasted_Exports'!BI33,'File_Intake'!BI33)</f>
        <v/>
      </c>
      <c r="BJ33" s="47">
        <f>IF('Pasted_Exports'!BJ33&lt;&gt;"",'Pasted_Exports'!BJ33,'File_Intake'!BJ33)</f>
        <v/>
      </c>
      <c r="BK33" s="47">
        <f>IF('Pasted_Exports'!BK33&lt;&gt;"",'Pasted_Exports'!BK33,'File_Intake'!BK33)</f>
        <v/>
      </c>
      <c r="BL33" s="47">
        <f>IF('Pasted_Exports'!BL33&lt;&gt;"",'Pasted_Exports'!BL33,'File_Intake'!BL33)</f>
        <v/>
      </c>
      <c r="BM33" s="47">
        <f>IF('Pasted_Exports'!BM33&lt;&gt;"",'Pasted_Exports'!BM33,'File_Intake'!BM33)</f>
        <v/>
      </c>
      <c r="BN33" s="47">
        <f>IF('Pasted_Exports'!BN33&lt;&gt;"",'Pasted_Exports'!BN33,'File_Intake'!BN33)</f>
        <v/>
      </c>
      <c r="BO33" s="47">
        <f>IF('Pasted_Exports'!BO33&lt;&gt;"",'Pasted_Exports'!BO33,'File_Intake'!BO33)</f>
        <v/>
      </c>
      <c r="BP33" s="47">
        <f>IF('Pasted_Exports'!BP33&lt;&gt;"",'Pasted_Exports'!BP33,'File_Intake'!BP33)</f>
        <v/>
      </c>
      <c r="BQ33" s="47">
        <f>IF('Pasted_Exports'!BQ33&lt;&gt;"",'Pasted_Exports'!BQ33,'File_Intake'!BQ33)</f>
        <v/>
      </c>
      <c r="BR33" s="47">
        <f>IF('Pasted_Exports'!BR33&lt;&gt;"",'Pasted_Exports'!BR33,'File_Intake'!BR33)</f>
        <v/>
      </c>
      <c r="BS33" s="47">
        <f>IF('Pasted_Exports'!BS33&lt;&gt;"",'Pasted_Exports'!BS33,'File_Intake'!BS33)</f>
        <v/>
      </c>
      <c r="BT33" s="47">
        <f>IF('Pasted_Exports'!BT33&lt;&gt;"",'Pasted_Exports'!BT33,'File_Intake'!BT33)</f>
        <v/>
      </c>
      <c r="BU33" s="47">
        <f>IF('Pasted_Exports'!BU33&lt;&gt;"",'Pasted_Exports'!BU33,'File_Intake'!BU33)</f>
        <v/>
      </c>
      <c r="BV33" s="47">
        <f>IF('Pasted_Exports'!BV33&lt;&gt;"",'Pasted_Exports'!BV33,'File_Intake'!BV33)</f>
        <v/>
      </c>
      <c r="BW33" s="47">
        <f>IF('Pasted_Exports'!BW33&lt;&gt;"",'Pasted_Exports'!BW33,'File_Intake'!BW33)</f>
        <v/>
      </c>
      <c r="BX33" s="29">
        <f>IF(AND($A33&lt;&gt;"",$B33&lt;&gt;"",$K33&gt;='Study_Setup'!$B$14,$L33&gt;='Study_Setup'!$B$15),1,0)</f>
        <v/>
      </c>
      <c r="BY33" s="30">
        <f>IF($A33="","",TEXTJOIN("; ",TRUE,IF($B33="","Missing arm",""),IF($K33&lt;'Study_Setup'!$B$14,"Low off-days",""),IF($L33&lt;'Study_Setup'!$B$15,"Low on-days",""),IF($AM33&gt;'Study_Setup'!$B$19,"Hypo burden increased","")))</f>
        <v/>
      </c>
      <c r="BZ33" s="61">
        <f>IFERROR($M33-$N33,"")</f>
        <v/>
      </c>
      <c r="CA33" s="62">
        <f>IFERROR(($M33-$N33)/$M33,"")</f>
        <v/>
      </c>
      <c r="CB33" s="33">
        <f>IFERROR($P33-$Q33,"")</f>
        <v/>
      </c>
      <c r="CC33" s="63">
        <f>IFERROR($T33-$S33,"")</f>
        <v/>
      </c>
      <c r="CD33" s="33">
        <f>IFERROR($AH33-$AI33,"")</f>
        <v/>
      </c>
      <c r="CE33" s="62">
        <f>IFERROR(($AH33-$AI33)/$AH33,"")</f>
        <v/>
      </c>
      <c r="CF33" s="33">
        <f>IFERROR($AQ33-$AR33,"")</f>
        <v/>
      </c>
      <c r="CG33" s="61">
        <f>IFERROR($BO33-$BP33,"")</f>
        <v/>
      </c>
      <c r="CH33" s="61">
        <f>IFERROR($BI33-$BJ33,"")</f>
        <v/>
      </c>
      <c r="CI33" s="61">
        <f>IFERROR($BL33-$BM33,"")</f>
        <v/>
      </c>
      <c r="CJ33" s="61">
        <f>IFERROR($BF33-$BG33,"")</f>
        <v/>
      </c>
      <c r="CK33" s="33">
        <f>IFERROR($BC33-$BD33,"")</f>
        <v/>
      </c>
      <c r="CL33" s="29">
        <f>IF($A33="","",IF($AM33&lt;='Study_Setup'!$B$19,1,0))</f>
        <v/>
      </c>
      <c r="CM33" s="29">
        <f>IF($A33="","",IF(AND($BZ33&gt;='Study_Setup'!$B$16,$CC33&gt;='Study_Setup'!$B$17,$CE33&gt;='Study_Setup'!$B$18,$CL33=1),1,0))</f>
        <v/>
      </c>
      <c r="CN33" s="61">
        <f>IFERROR(40*MIN(1,$BZ33/'Study_Setup'!$B$16)+25*MIN(1,$CC33/'Study_Setup'!$B$17)+25*MIN(1,$CE33/'Study_Setup'!$B$18)+10*$CL33,"")</f>
        <v/>
      </c>
      <c r="CO33">
        <f>IF('Pasted_Exports'!BX33&lt;&gt;"",'Pasted_Exports'!BX33,'File_Intake'!BX33)</f>
        <v/>
      </c>
      <c r="CP33" s="57">
        <f>IF('Pasted_Exports'!BY33&lt;&gt;"",'Pasted_Exports'!BY33,'File_Intake'!BY33)</f>
        <v/>
      </c>
      <c r="CQ33" s="57">
        <f>IF('Pasted_Exports'!BZ33&lt;&gt;"",'Pasted_Exports'!BZ33,'File_Intake'!BZ33)</f>
        <v/>
      </c>
      <c r="CR33" s="57">
        <f>IF('Pasted_Exports'!CA33&lt;&gt;"",'Pasted_Exports'!CA33,'File_Intake'!CA33)</f>
        <v/>
      </c>
      <c r="CS33" s="58">
        <f>IF('Pasted_Exports'!CB33&lt;&gt;"",'Pasted_Exports'!CB33,'File_Intake'!CB33)</f>
        <v/>
      </c>
      <c r="CT33" s="59">
        <f>IF('Pasted_Exports'!CC33&lt;&gt;"",'Pasted_Exports'!CC33,'File_Intake'!CC33)</f>
        <v/>
      </c>
      <c r="CU33">
        <f>IF('Pasted_Exports'!CD33&lt;&gt;"",'Pasted_Exports'!CD33,'File_Intake'!CD33)</f>
        <v/>
      </c>
      <c r="CV33">
        <f>IF('Pasted_Exports'!CE33&lt;&gt;"",'Pasted_Exports'!CE33,'File_Intake'!CE33)</f>
        <v/>
      </c>
      <c r="CW33" s="60">
        <f>IF('Pasted_Exports'!CF33&lt;&gt;"",'Pasted_Exports'!CF33,'File_Intake'!CF33)</f>
        <v/>
      </c>
      <c r="CX33" s="60">
        <f>IF('Pasted_Exports'!CG33&lt;&gt;"",'Pasted_Exports'!CG33,'File_Intake'!CG33)</f>
        <v/>
      </c>
      <c r="CY33">
        <f>IF('Pasted_Exports'!CH33&lt;&gt;"",'Pasted_Exports'!CH33,'File_Intake'!CH33)</f>
        <v/>
      </c>
    </row>
    <row r="34">
      <c r="A34" s="24">
        <f>IF('Pasted_Exports'!A34&lt;&gt;"",'Pasted_Exports'!A34,'File_Intake'!A34)</f>
        <v/>
      </c>
      <c r="B34" s="24">
        <f>IF('Pasted_Exports'!B34&lt;&gt;"",'Pasted_Exports'!B34,'File_Intake'!B34)</f>
        <v/>
      </c>
      <c r="C34" s="24">
        <f>IF('Pasted_Exports'!C34&lt;&gt;"",'Pasted_Exports'!C34,'File_Intake'!C34)</f>
        <v/>
      </c>
      <c r="D34" s="24">
        <f>IF('Pasted_Exports'!D34&lt;&gt;"",'Pasted_Exports'!D34,'File_Intake'!D34)</f>
        <v/>
      </c>
      <c r="E34" s="55">
        <f>IF('Pasted_Exports'!E34&lt;&gt;"",'Pasted_Exports'!E34,'File_Intake'!E34)</f>
        <v/>
      </c>
      <c r="F34" s="26">
        <f>IF('Pasted_Exports'!F34&lt;&gt;"",'Pasted_Exports'!F34,'File_Intake'!F34)</f>
        <v/>
      </c>
      <c r="G34" s="26">
        <f>IF('Pasted_Exports'!G34&lt;&gt;"",'Pasted_Exports'!G34,'File_Intake'!G34)</f>
        <v/>
      </c>
      <c r="H34" s="47">
        <f>IF('Pasted_Exports'!H34&lt;&gt;"",'Pasted_Exports'!H34,'File_Intake'!H34)</f>
        <v/>
      </c>
      <c r="I34" s="26">
        <f>IF('Pasted_Exports'!I34&lt;&gt;"",'Pasted_Exports'!I34,'File_Intake'!I34)</f>
        <v/>
      </c>
      <c r="J34" s="26">
        <f>IF('Pasted_Exports'!J34&lt;&gt;"",'Pasted_Exports'!J34,'File_Intake'!J34)</f>
        <v/>
      </c>
      <c r="K34" s="47">
        <f>IF('Pasted_Exports'!K34&lt;&gt;"",'Pasted_Exports'!K34,'File_Intake'!K34)</f>
        <v/>
      </c>
      <c r="L34" s="47">
        <f>IF('Pasted_Exports'!L34&lt;&gt;"",'Pasted_Exports'!L34,'File_Intake'!L34)</f>
        <v/>
      </c>
      <c r="M34" s="47">
        <f>IF('Pasted_Exports'!M34&lt;&gt;"",'Pasted_Exports'!M34,'File_Intake'!M34)</f>
        <v/>
      </c>
      <c r="N34" s="47">
        <f>IF('Pasted_Exports'!N34&lt;&gt;"",'Pasted_Exports'!N34,'File_Intake'!N34)</f>
        <v/>
      </c>
      <c r="O34" s="47">
        <f>IF('Pasted_Exports'!O34&lt;&gt;"",'Pasted_Exports'!O34,'File_Intake'!O34)</f>
        <v/>
      </c>
      <c r="P34" s="27">
        <f>IF('Pasted_Exports'!P34&lt;&gt;"",'Pasted_Exports'!P34,'File_Intake'!P34)</f>
        <v/>
      </c>
      <c r="Q34" s="27">
        <f>IF('Pasted_Exports'!Q34&lt;&gt;"",'Pasted_Exports'!Q34,'File_Intake'!Q34)</f>
        <v/>
      </c>
      <c r="R34" s="27">
        <f>IF('Pasted_Exports'!R34&lt;&gt;"",'Pasted_Exports'!R34,'File_Intake'!R34)</f>
        <v/>
      </c>
      <c r="S34" s="56">
        <f>IF('Pasted_Exports'!S34&lt;&gt;"",'Pasted_Exports'!S34,'File_Intake'!S34)</f>
        <v/>
      </c>
      <c r="T34" s="56">
        <f>IF('Pasted_Exports'!T34&lt;&gt;"",'Pasted_Exports'!T34,'File_Intake'!T34)</f>
        <v/>
      </c>
      <c r="U34" s="56">
        <f>IF('Pasted_Exports'!U34&lt;&gt;"",'Pasted_Exports'!U34,'File_Intake'!U34)</f>
        <v/>
      </c>
      <c r="V34" s="56">
        <f>IF('Pasted_Exports'!V34&lt;&gt;"",'Pasted_Exports'!V34,'File_Intake'!V34)</f>
        <v/>
      </c>
      <c r="W34" s="56">
        <f>IF('Pasted_Exports'!W34&lt;&gt;"",'Pasted_Exports'!W34,'File_Intake'!W34)</f>
        <v/>
      </c>
      <c r="X34" s="56">
        <f>IF('Pasted_Exports'!X34&lt;&gt;"",'Pasted_Exports'!X34,'File_Intake'!X34)</f>
        <v/>
      </c>
      <c r="Y34" s="56">
        <f>IF('Pasted_Exports'!Y34&lt;&gt;"",'Pasted_Exports'!Y34,'File_Intake'!Y34)</f>
        <v/>
      </c>
      <c r="Z34" s="56">
        <f>IF('Pasted_Exports'!Z34&lt;&gt;"",'Pasted_Exports'!Z34,'File_Intake'!Z34)</f>
        <v/>
      </c>
      <c r="AA34" s="56">
        <f>IF('Pasted_Exports'!AA34&lt;&gt;"",'Pasted_Exports'!AA34,'File_Intake'!AA34)</f>
        <v/>
      </c>
      <c r="AB34" s="56">
        <f>IF('Pasted_Exports'!AB34&lt;&gt;"",'Pasted_Exports'!AB34,'File_Intake'!AB34)</f>
        <v/>
      </c>
      <c r="AC34" s="56">
        <f>IF('Pasted_Exports'!AC34&lt;&gt;"",'Pasted_Exports'!AC34,'File_Intake'!AC34)</f>
        <v/>
      </c>
      <c r="AD34" s="56">
        <f>IF('Pasted_Exports'!AD34&lt;&gt;"",'Pasted_Exports'!AD34,'File_Intake'!AD34)</f>
        <v/>
      </c>
      <c r="AE34" s="56">
        <f>IF('Pasted_Exports'!AE34&lt;&gt;"",'Pasted_Exports'!AE34,'File_Intake'!AE34)</f>
        <v/>
      </c>
      <c r="AF34" s="56">
        <f>IF('Pasted_Exports'!AF34&lt;&gt;"",'Pasted_Exports'!AF34,'File_Intake'!AF34)</f>
        <v/>
      </c>
      <c r="AG34" s="56">
        <f>IF('Pasted_Exports'!AG34&lt;&gt;"",'Pasted_Exports'!AG34,'File_Intake'!AG34)</f>
        <v/>
      </c>
      <c r="AH34" s="27">
        <f>IF('Pasted_Exports'!AH34&lt;&gt;"",'Pasted_Exports'!AH34,'File_Intake'!AH34)</f>
        <v/>
      </c>
      <c r="AI34" s="27">
        <f>IF('Pasted_Exports'!AI34&lt;&gt;"",'Pasted_Exports'!AI34,'File_Intake'!AI34)</f>
        <v/>
      </c>
      <c r="AJ34" s="27">
        <f>IF('Pasted_Exports'!AJ34&lt;&gt;"",'Pasted_Exports'!AJ34,'File_Intake'!AJ34)</f>
        <v/>
      </c>
      <c r="AK34" s="27">
        <f>IF('Pasted_Exports'!AK34&lt;&gt;"",'Pasted_Exports'!AK34,'File_Intake'!AK34)</f>
        <v/>
      </c>
      <c r="AL34" s="27">
        <f>IF('Pasted_Exports'!AL34&lt;&gt;"",'Pasted_Exports'!AL34,'File_Intake'!AL34)</f>
        <v/>
      </c>
      <c r="AM34" s="27">
        <f>IF('Pasted_Exports'!AM34&lt;&gt;"",'Pasted_Exports'!AM34,'File_Intake'!AM34)</f>
        <v/>
      </c>
      <c r="AN34" s="27">
        <f>IF('Pasted_Exports'!AN34&lt;&gt;"",'Pasted_Exports'!AN34,'File_Intake'!AN34)</f>
        <v/>
      </c>
      <c r="AO34" s="27">
        <f>IF('Pasted_Exports'!AO34&lt;&gt;"",'Pasted_Exports'!AO34,'File_Intake'!AO34)</f>
        <v/>
      </c>
      <c r="AP34" s="27">
        <f>IF('Pasted_Exports'!AP34&lt;&gt;"",'Pasted_Exports'!AP34,'File_Intake'!AP34)</f>
        <v/>
      </c>
      <c r="AQ34" s="27">
        <f>IF('Pasted_Exports'!AQ34&lt;&gt;"",'Pasted_Exports'!AQ34,'File_Intake'!AQ34)</f>
        <v/>
      </c>
      <c r="AR34" s="27">
        <f>IF('Pasted_Exports'!AR34&lt;&gt;"",'Pasted_Exports'!AR34,'File_Intake'!AR34)</f>
        <v/>
      </c>
      <c r="AS34" s="27">
        <f>IF('Pasted_Exports'!AS34&lt;&gt;"",'Pasted_Exports'!AS34,'File_Intake'!AS34)</f>
        <v/>
      </c>
      <c r="AT34" s="47">
        <f>IF('Pasted_Exports'!AT34&lt;&gt;"",'Pasted_Exports'!AT34,'File_Intake'!AT34)</f>
        <v/>
      </c>
      <c r="AU34" s="47">
        <f>IF('Pasted_Exports'!AU34&lt;&gt;"",'Pasted_Exports'!AU34,'File_Intake'!AU34)</f>
        <v/>
      </c>
      <c r="AV34" s="47">
        <f>IF('Pasted_Exports'!AV34&lt;&gt;"",'Pasted_Exports'!AV34,'File_Intake'!AV34)</f>
        <v/>
      </c>
      <c r="AW34" s="56">
        <f>IF('Pasted_Exports'!AW34&lt;&gt;"",'Pasted_Exports'!AW34,'File_Intake'!AW34)</f>
        <v/>
      </c>
      <c r="AX34" s="56">
        <f>IF('Pasted_Exports'!AX34&lt;&gt;"",'Pasted_Exports'!AX34,'File_Intake'!AX34)</f>
        <v/>
      </c>
      <c r="AY34" s="56">
        <f>IF('Pasted_Exports'!AY34&lt;&gt;"",'Pasted_Exports'!AY34,'File_Intake'!AY34)</f>
        <v/>
      </c>
      <c r="AZ34" s="47">
        <f>IF('Pasted_Exports'!AZ34&lt;&gt;"",'Pasted_Exports'!AZ34,'File_Intake'!AZ34)</f>
        <v/>
      </c>
      <c r="BA34" s="47">
        <f>IF('Pasted_Exports'!BA34&lt;&gt;"",'Pasted_Exports'!BA34,'File_Intake'!BA34)</f>
        <v/>
      </c>
      <c r="BB34" s="47">
        <f>IF('Pasted_Exports'!BB34&lt;&gt;"",'Pasted_Exports'!BB34,'File_Intake'!BB34)</f>
        <v/>
      </c>
      <c r="BC34" s="27">
        <f>IF('Pasted_Exports'!BC34&lt;&gt;"",'Pasted_Exports'!BC34,'File_Intake'!BC34)</f>
        <v/>
      </c>
      <c r="BD34" s="27">
        <f>IF('Pasted_Exports'!BD34&lt;&gt;"",'Pasted_Exports'!BD34,'File_Intake'!BD34)</f>
        <v/>
      </c>
      <c r="BE34" s="27">
        <f>IF('Pasted_Exports'!BE34&lt;&gt;"",'Pasted_Exports'!BE34,'File_Intake'!BE34)</f>
        <v/>
      </c>
      <c r="BF34" s="47">
        <f>IF('Pasted_Exports'!BF34&lt;&gt;"",'Pasted_Exports'!BF34,'File_Intake'!BF34)</f>
        <v/>
      </c>
      <c r="BG34" s="47">
        <f>IF('Pasted_Exports'!BG34&lt;&gt;"",'Pasted_Exports'!BG34,'File_Intake'!BG34)</f>
        <v/>
      </c>
      <c r="BH34" s="47">
        <f>IF('Pasted_Exports'!BH34&lt;&gt;"",'Pasted_Exports'!BH34,'File_Intake'!BH34)</f>
        <v/>
      </c>
      <c r="BI34" s="47">
        <f>IF('Pasted_Exports'!BI34&lt;&gt;"",'Pasted_Exports'!BI34,'File_Intake'!BI34)</f>
        <v/>
      </c>
      <c r="BJ34" s="47">
        <f>IF('Pasted_Exports'!BJ34&lt;&gt;"",'Pasted_Exports'!BJ34,'File_Intake'!BJ34)</f>
        <v/>
      </c>
      <c r="BK34" s="47">
        <f>IF('Pasted_Exports'!BK34&lt;&gt;"",'Pasted_Exports'!BK34,'File_Intake'!BK34)</f>
        <v/>
      </c>
      <c r="BL34" s="47">
        <f>IF('Pasted_Exports'!BL34&lt;&gt;"",'Pasted_Exports'!BL34,'File_Intake'!BL34)</f>
        <v/>
      </c>
      <c r="BM34" s="47">
        <f>IF('Pasted_Exports'!BM34&lt;&gt;"",'Pasted_Exports'!BM34,'File_Intake'!BM34)</f>
        <v/>
      </c>
      <c r="BN34" s="47">
        <f>IF('Pasted_Exports'!BN34&lt;&gt;"",'Pasted_Exports'!BN34,'File_Intake'!BN34)</f>
        <v/>
      </c>
      <c r="BO34" s="47">
        <f>IF('Pasted_Exports'!BO34&lt;&gt;"",'Pasted_Exports'!BO34,'File_Intake'!BO34)</f>
        <v/>
      </c>
      <c r="BP34" s="47">
        <f>IF('Pasted_Exports'!BP34&lt;&gt;"",'Pasted_Exports'!BP34,'File_Intake'!BP34)</f>
        <v/>
      </c>
      <c r="BQ34" s="47">
        <f>IF('Pasted_Exports'!BQ34&lt;&gt;"",'Pasted_Exports'!BQ34,'File_Intake'!BQ34)</f>
        <v/>
      </c>
      <c r="BR34" s="47">
        <f>IF('Pasted_Exports'!BR34&lt;&gt;"",'Pasted_Exports'!BR34,'File_Intake'!BR34)</f>
        <v/>
      </c>
      <c r="BS34" s="47">
        <f>IF('Pasted_Exports'!BS34&lt;&gt;"",'Pasted_Exports'!BS34,'File_Intake'!BS34)</f>
        <v/>
      </c>
      <c r="BT34" s="47">
        <f>IF('Pasted_Exports'!BT34&lt;&gt;"",'Pasted_Exports'!BT34,'File_Intake'!BT34)</f>
        <v/>
      </c>
      <c r="BU34" s="47">
        <f>IF('Pasted_Exports'!BU34&lt;&gt;"",'Pasted_Exports'!BU34,'File_Intake'!BU34)</f>
        <v/>
      </c>
      <c r="BV34" s="47">
        <f>IF('Pasted_Exports'!BV34&lt;&gt;"",'Pasted_Exports'!BV34,'File_Intake'!BV34)</f>
        <v/>
      </c>
      <c r="BW34" s="47">
        <f>IF('Pasted_Exports'!BW34&lt;&gt;"",'Pasted_Exports'!BW34,'File_Intake'!BW34)</f>
        <v/>
      </c>
      <c r="BX34" s="29">
        <f>IF(AND($A34&lt;&gt;"",$B34&lt;&gt;"",$K34&gt;='Study_Setup'!$B$14,$L34&gt;='Study_Setup'!$B$15),1,0)</f>
        <v/>
      </c>
      <c r="BY34" s="30">
        <f>IF($A34="","",TEXTJOIN("; ",TRUE,IF($B34="","Missing arm",""),IF($K34&lt;'Study_Setup'!$B$14,"Low off-days",""),IF($L34&lt;'Study_Setup'!$B$15,"Low on-days",""),IF($AM34&gt;'Study_Setup'!$B$19,"Hypo burden increased","")))</f>
        <v/>
      </c>
      <c r="BZ34" s="61">
        <f>IFERROR($M34-$N34,"")</f>
        <v/>
      </c>
      <c r="CA34" s="62">
        <f>IFERROR(($M34-$N34)/$M34,"")</f>
        <v/>
      </c>
      <c r="CB34" s="33">
        <f>IFERROR($P34-$Q34,"")</f>
        <v/>
      </c>
      <c r="CC34" s="63">
        <f>IFERROR($T34-$S34,"")</f>
        <v/>
      </c>
      <c r="CD34" s="33">
        <f>IFERROR($AH34-$AI34,"")</f>
        <v/>
      </c>
      <c r="CE34" s="62">
        <f>IFERROR(($AH34-$AI34)/$AH34,"")</f>
        <v/>
      </c>
      <c r="CF34" s="33">
        <f>IFERROR($AQ34-$AR34,"")</f>
        <v/>
      </c>
      <c r="CG34" s="61">
        <f>IFERROR($BO34-$BP34,"")</f>
        <v/>
      </c>
      <c r="CH34" s="61">
        <f>IFERROR($BI34-$BJ34,"")</f>
        <v/>
      </c>
      <c r="CI34" s="61">
        <f>IFERROR($BL34-$BM34,"")</f>
        <v/>
      </c>
      <c r="CJ34" s="61">
        <f>IFERROR($BF34-$BG34,"")</f>
        <v/>
      </c>
      <c r="CK34" s="33">
        <f>IFERROR($BC34-$BD34,"")</f>
        <v/>
      </c>
      <c r="CL34" s="29">
        <f>IF($A34="","",IF($AM34&lt;='Study_Setup'!$B$19,1,0))</f>
        <v/>
      </c>
      <c r="CM34" s="29">
        <f>IF($A34="","",IF(AND($BZ34&gt;='Study_Setup'!$B$16,$CC34&gt;='Study_Setup'!$B$17,$CE34&gt;='Study_Setup'!$B$18,$CL34=1),1,0))</f>
        <v/>
      </c>
      <c r="CN34" s="61">
        <f>IFERROR(40*MIN(1,$BZ34/'Study_Setup'!$B$16)+25*MIN(1,$CC34/'Study_Setup'!$B$17)+25*MIN(1,$CE34/'Study_Setup'!$B$18)+10*$CL34,"")</f>
        <v/>
      </c>
      <c r="CO34">
        <f>IF('Pasted_Exports'!BX34&lt;&gt;"",'Pasted_Exports'!BX34,'File_Intake'!BX34)</f>
        <v/>
      </c>
      <c r="CP34" s="57">
        <f>IF('Pasted_Exports'!BY34&lt;&gt;"",'Pasted_Exports'!BY34,'File_Intake'!BY34)</f>
        <v/>
      </c>
      <c r="CQ34" s="57">
        <f>IF('Pasted_Exports'!BZ34&lt;&gt;"",'Pasted_Exports'!BZ34,'File_Intake'!BZ34)</f>
        <v/>
      </c>
      <c r="CR34" s="57">
        <f>IF('Pasted_Exports'!CA34&lt;&gt;"",'Pasted_Exports'!CA34,'File_Intake'!CA34)</f>
        <v/>
      </c>
      <c r="CS34" s="58">
        <f>IF('Pasted_Exports'!CB34&lt;&gt;"",'Pasted_Exports'!CB34,'File_Intake'!CB34)</f>
        <v/>
      </c>
      <c r="CT34" s="59">
        <f>IF('Pasted_Exports'!CC34&lt;&gt;"",'Pasted_Exports'!CC34,'File_Intake'!CC34)</f>
        <v/>
      </c>
      <c r="CU34">
        <f>IF('Pasted_Exports'!CD34&lt;&gt;"",'Pasted_Exports'!CD34,'File_Intake'!CD34)</f>
        <v/>
      </c>
      <c r="CV34">
        <f>IF('Pasted_Exports'!CE34&lt;&gt;"",'Pasted_Exports'!CE34,'File_Intake'!CE34)</f>
        <v/>
      </c>
      <c r="CW34" s="60">
        <f>IF('Pasted_Exports'!CF34&lt;&gt;"",'Pasted_Exports'!CF34,'File_Intake'!CF34)</f>
        <v/>
      </c>
      <c r="CX34" s="60">
        <f>IF('Pasted_Exports'!CG34&lt;&gt;"",'Pasted_Exports'!CG34,'File_Intake'!CG34)</f>
        <v/>
      </c>
      <c r="CY34">
        <f>IF('Pasted_Exports'!CH34&lt;&gt;"",'Pasted_Exports'!CH34,'File_Intake'!CH34)</f>
        <v/>
      </c>
    </row>
    <row r="35">
      <c r="A35" s="24">
        <f>IF('Pasted_Exports'!A35&lt;&gt;"",'Pasted_Exports'!A35,'File_Intake'!A35)</f>
        <v/>
      </c>
      <c r="B35" s="24">
        <f>IF('Pasted_Exports'!B35&lt;&gt;"",'Pasted_Exports'!B35,'File_Intake'!B35)</f>
        <v/>
      </c>
      <c r="C35" s="24">
        <f>IF('Pasted_Exports'!C35&lt;&gt;"",'Pasted_Exports'!C35,'File_Intake'!C35)</f>
        <v/>
      </c>
      <c r="D35" s="24">
        <f>IF('Pasted_Exports'!D35&lt;&gt;"",'Pasted_Exports'!D35,'File_Intake'!D35)</f>
        <v/>
      </c>
      <c r="E35" s="55">
        <f>IF('Pasted_Exports'!E35&lt;&gt;"",'Pasted_Exports'!E35,'File_Intake'!E35)</f>
        <v/>
      </c>
      <c r="F35" s="26">
        <f>IF('Pasted_Exports'!F35&lt;&gt;"",'Pasted_Exports'!F35,'File_Intake'!F35)</f>
        <v/>
      </c>
      <c r="G35" s="26">
        <f>IF('Pasted_Exports'!G35&lt;&gt;"",'Pasted_Exports'!G35,'File_Intake'!G35)</f>
        <v/>
      </c>
      <c r="H35" s="47">
        <f>IF('Pasted_Exports'!H35&lt;&gt;"",'Pasted_Exports'!H35,'File_Intake'!H35)</f>
        <v/>
      </c>
      <c r="I35" s="26">
        <f>IF('Pasted_Exports'!I35&lt;&gt;"",'Pasted_Exports'!I35,'File_Intake'!I35)</f>
        <v/>
      </c>
      <c r="J35" s="26">
        <f>IF('Pasted_Exports'!J35&lt;&gt;"",'Pasted_Exports'!J35,'File_Intake'!J35)</f>
        <v/>
      </c>
      <c r="K35" s="47">
        <f>IF('Pasted_Exports'!K35&lt;&gt;"",'Pasted_Exports'!K35,'File_Intake'!K35)</f>
        <v/>
      </c>
      <c r="L35" s="47">
        <f>IF('Pasted_Exports'!L35&lt;&gt;"",'Pasted_Exports'!L35,'File_Intake'!L35)</f>
        <v/>
      </c>
      <c r="M35" s="47">
        <f>IF('Pasted_Exports'!M35&lt;&gt;"",'Pasted_Exports'!M35,'File_Intake'!M35)</f>
        <v/>
      </c>
      <c r="N35" s="47">
        <f>IF('Pasted_Exports'!N35&lt;&gt;"",'Pasted_Exports'!N35,'File_Intake'!N35)</f>
        <v/>
      </c>
      <c r="O35" s="47">
        <f>IF('Pasted_Exports'!O35&lt;&gt;"",'Pasted_Exports'!O35,'File_Intake'!O35)</f>
        <v/>
      </c>
      <c r="P35" s="27">
        <f>IF('Pasted_Exports'!P35&lt;&gt;"",'Pasted_Exports'!P35,'File_Intake'!P35)</f>
        <v/>
      </c>
      <c r="Q35" s="27">
        <f>IF('Pasted_Exports'!Q35&lt;&gt;"",'Pasted_Exports'!Q35,'File_Intake'!Q35)</f>
        <v/>
      </c>
      <c r="R35" s="27">
        <f>IF('Pasted_Exports'!R35&lt;&gt;"",'Pasted_Exports'!R35,'File_Intake'!R35)</f>
        <v/>
      </c>
      <c r="S35" s="56">
        <f>IF('Pasted_Exports'!S35&lt;&gt;"",'Pasted_Exports'!S35,'File_Intake'!S35)</f>
        <v/>
      </c>
      <c r="T35" s="56">
        <f>IF('Pasted_Exports'!T35&lt;&gt;"",'Pasted_Exports'!T35,'File_Intake'!T35)</f>
        <v/>
      </c>
      <c r="U35" s="56">
        <f>IF('Pasted_Exports'!U35&lt;&gt;"",'Pasted_Exports'!U35,'File_Intake'!U35)</f>
        <v/>
      </c>
      <c r="V35" s="56">
        <f>IF('Pasted_Exports'!V35&lt;&gt;"",'Pasted_Exports'!V35,'File_Intake'!V35)</f>
        <v/>
      </c>
      <c r="W35" s="56">
        <f>IF('Pasted_Exports'!W35&lt;&gt;"",'Pasted_Exports'!W35,'File_Intake'!W35)</f>
        <v/>
      </c>
      <c r="X35" s="56">
        <f>IF('Pasted_Exports'!X35&lt;&gt;"",'Pasted_Exports'!X35,'File_Intake'!X35)</f>
        <v/>
      </c>
      <c r="Y35" s="56">
        <f>IF('Pasted_Exports'!Y35&lt;&gt;"",'Pasted_Exports'!Y35,'File_Intake'!Y35)</f>
        <v/>
      </c>
      <c r="Z35" s="56">
        <f>IF('Pasted_Exports'!Z35&lt;&gt;"",'Pasted_Exports'!Z35,'File_Intake'!Z35)</f>
        <v/>
      </c>
      <c r="AA35" s="56">
        <f>IF('Pasted_Exports'!AA35&lt;&gt;"",'Pasted_Exports'!AA35,'File_Intake'!AA35)</f>
        <v/>
      </c>
      <c r="AB35" s="56">
        <f>IF('Pasted_Exports'!AB35&lt;&gt;"",'Pasted_Exports'!AB35,'File_Intake'!AB35)</f>
        <v/>
      </c>
      <c r="AC35" s="56">
        <f>IF('Pasted_Exports'!AC35&lt;&gt;"",'Pasted_Exports'!AC35,'File_Intake'!AC35)</f>
        <v/>
      </c>
      <c r="AD35" s="56">
        <f>IF('Pasted_Exports'!AD35&lt;&gt;"",'Pasted_Exports'!AD35,'File_Intake'!AD35)</f>
        <v/>
      </c>
      <c r="AE35" s="56">
        <f>IF('Pasted_Exports'!AE35&lt;&gt;"",'Pasted_Exports'!AE35,'File_Intake'!AE35)</f>
        <v/>
      </c>
      <c r="AF35" s="56">
        <f>IF('Pasted_Exports'!AF35&lt;&gt;"",'Pasted_Exports'!AF35,'File_Intake'!AF35)</f>
        <v/>
      </c>
      <c r="AG35" s="56">
        <f>IF('Pasted_Exports'!AG35&lt;&gt;"",'Pasted_Exports'!AG35,'File_Intake'!AG35)</f>
        <v/>
      </c>
      <c r="AH35" s="27">
        <f>IF('Pasted_Exports'!AH35&lt;&gt;"",'Pasted_Exports'!AH35,'File_Intake'!AH35)</f>
        <v/>
      </c>
      <c r="AI35" s="27">
        <f>IF('Pasted_Exports'!AI35&lt;&gt;"",'Pasted_Exports'!AI35,'File_Intake'!AI35)</f>
        <v/>
      </c>
      <c r="AJ35" s="27">
        <f>IF('Pasted_Exports'!AJ35&lt;&gt;"",'Pasted_Exports'!AJ35,'File_Intake'!AJ35)</f>
        <v/>
      </c>
      <c r="AK35" s="27">
        <f>IF('Pasted_Exports'!AK35&lt;&gt;"",'Pasted_Exports'!AK35,'File_Intake'!AK35)</f>
        <v/>
      </c>
      <c r="AL35" s="27">
        <f>IF('Pasted_Exports'!AL35&lt;&gt;"",'Pasted_Exports'!AL35,'File_Intake'!AL35)</f>
        <v/>
      </c>
      <c r="AM35" s="27">
        <f>IF('Pasted_Exports'!AM35&lt;&gt;"",'Pasted_Exports'!AM35,'File_Intake'!AM35)</f>
        <v/>
      </c>
      <c r="AN35" s="27">
        <f>IF('Pasted_Exports'!AN35&lt;&gt;"",'Pasted_Exports'!AN35,'File_Intake'!AN35)</f>
        <v/>
      </c>
      <c r="AO35" s="27">
        <f>IF('Pasted_Exports'!AO35&lt;&gt;"",'Pasted_Exports'!AO35,'File_Intake'!AO35)</f>
        <v/>
      </c>
      <c r="AP35" s="27">
        <f>IF('Pasted_Exports'!AP35&lt;&gt;"",'Pasted_Exports'!AP35,'File_Intake'!AP35)</f>
        <v/>
      </c>
      <c r="AQ35" s="27">
        <f>IF('Pasted_Exports'!AQ35&lt;&gt;"",'Pasted_Exports'!AQ35,'File_Intake'!AQ35)</f>
        <v/>
      </c>
      <c r="AR35" s="27">
        <f>IF('Pasted_Exports'!AR35&lt;&gt;"",'Pasted_Exports'!AR35,'File_Intake'!AR35)</f>
        <v/>
      </c>
      <c r="AS35" s="27">
        <f>IF('Pasted_Exports'!AS35&lt;&gt;"",'Pasted_Exports'!AS35,'File_Intake'!AS35)</f>
        <v/>
      </c>
      <c r="AT35" s="47">
        <f>IF('Pasted_Exports'!AT35&lt;&gt;"",'Pasted_Exports'!AT35,'File_Intake'!AT35)</f>
        <v/>
      </c>
      <c r="AU35" s="47">
        <f>IF('Pasted_Exports'!AU35&lt;&gt;"",'Pasted_Exports'!AU35,'File_Intake'!AU35)</f>
        <v/>
      </c>
      <c r="AV35" s="47">
        <f>IF('Pasted_Exports'!AV35&lt;&gt;"",'Pasted_Exports'!AV35,'File_Intake'!AV35)</f>
        <v/>
      </c>
      <c r="AW35" s="56">
        <f>IF('Pasted_Exports'!AW35&lt;&gt;"",'Pasted_Exports'!AW35,'File_Intake'!AW35)</f>
        <v/>
      </c>
      <c r="AX35" s="56">
        <f>IF('Pasted_Exports'!AX35&lt;&gt;"",'Pasted_Exports'!AX35,'File_Intake'!AX35)</f>
        <v/>
      </c>
      <c r="AY35" s="56">
        <f>IF('Pasted_Exports'!AY35&lt;&gt;"",'Pasted_Exports'!AY35,'File_Intake'!AY35)</f>
        <v/>
      </c>
      <c r="AZ35" s="47">
        <f>IF('Pasted_Exports'!AZ35&lt;&gt;"",'Pasted_Exports'!AZ35,'File_Intake'!AZ35)</f>
        <v/>
      </c>
      <c r="BA35" s="47">
        <f>IF('Pasted_Exports'!BA35&lt;&gt;"",'Pasted_Exports'!BA35,'File_Intake'!BA35)</f>
        <v/>
      </c>
      <c r="BB35" s="47">
        <f>IF('Pasted_Exports'!BB35&lt;&gt;"",'Pasted_Exports'!BB35,'File_Intake'!BB35)</f>
        <v/>
      </c>
      <c r="BC35" s="27">
        <f>IF('Pasted_Exports'!BC35&lt;&gt;"",'Pasted_Exports'!BC35,'File_Intake'!BC35)</f>
        <v/>
      </c>
      <c r="BD35" s="27">
        <f>IF('Pasted_Exports'!BD35&lt;&gt;"",'Pasted_Exports'!BD35,'File_Intake'!BD35)</f>
        <v/>
      </c>
      <c r="BE35" s="27">
        <f>IF('Pasted_Exports'!BE35&lt;&gt;"",'Pasted_Exports'!BE35,'File_Intake'!BE35)</f>
        <v/>
      </c>
      <c r="BF35" s="47">
        <f>IF('Pasted_Exports'!BF35&lt;&gt;"",'Pasted_Exports'!BF35,'File_Intake'!BF35)</f>
        <v/>
      </c>
      <c r="BG35" s="47">
        <f>IF('Pasted_Exports'!BG35&lt;&gt;"",'Pasted_Exports'!BG35,'File_Intake'!BG35)</f>
        <v/>
      </c>
      <c r="BH35" s="47">
        <f>IF('Pasted_Exports'!BH35&lt;&gt;"",'Pasted_Exports'!BH35,'File_Intake'!BH35)</f>
        <v/>
      </c>
      <c r="BI35" s="47">
        <f>IF('Pasted_Exports'!BI35&lt;&gt;"",'Pasted_Exports'!BI35,'File_Intake'!BI35)</f>
        <v/>
      </c>
      <c r="BJ35" s="47">
        <f>IF('Pasted_Exports'!BJ35&lt;&gt;"",'Pasted_Exports'!BJ35,'File_Intake'!BJ35)</f>
        <v/>
      </c>
      <c r="BK35" s="47">
        <f>IF('Pasted_Exports'!BK35&lt;&gt;"",'Pasted_Exports'!BK35,'File_Intake'!BK35)</f>
        <v/>
      </c>
      <c r="BL35" s="47">
        <f>IF('Pasted_Exports'!BL35&lt;&gt;"",'Pasted_Exports'!BL35,'File_Intake'!BL35)</f>
        <v/>
      </c>
      <c r="BM35" s="47">
        <f>IF('Pasted_Exports'!BM35&lt;&gt;"",'Pasted_Exports'!BM35,'File_Intake'!BM35)</f>
        <v/>
      </c>
      <c r="BN35" s="47">
        <f>IF('Pasted_Exports'!BN35&lt;&gt;"",'Pasted_Exports'!BN35,'File_Intake'!BN35)</f>
        <v/>
      </c>
      <c r="BO35" s="47">
        <f>IF('Pasted_Exports'!BO35&lt;&gt;"",'Pasted_Exports'!BO35,'File_Intake'!BO35)</f>
        <v/>
      </c>
      <c r="BP35" s="47">
        <f>IF('Pasted_Exports'!BP35&lt;&gt;"",'Pasted_Exports'!BP35,'File_Intake'!BP35)</f>
        <v/>
      </c>
      <c r="BQ35" s="47">
        <f>IF('Pasted_Exports'!BQ35&lt;&gt;"",'Pasted_Exports'!BQ35,'File_Intake'!BQ35)</f>
        <v/>
      </c>
      <c r="BR35" s="47">
        <f>IF('Pasted_Exports'!BR35&lt;&gt;"",'Pasted_Exports'!BR35,'File_Intake'!BR35)</f>
        <v/>
      </c>
      <c r="BS35" s="47">
        <f>IF('Pasted_Exports'!BS35&lt;&gt;"",'Pasted_Exports'!BS35,'File_Intake'!BS35)</f>
        <v/>
      </c>
      <c r="BT35" s="47">
        <f>IF('Pasted_Exports'!BT35&lt;&gt;"",'Pasted_Exports'!BT35,'File_Intake'!BT35)</f>
        <v/>
      </c>
      <c r="BU35" s="47">
        <f>IF('Pasted_Exports'!BU35&lt;&gt;"",'Pasted_Exports'!BU35,'File_Intake'!BU35)</f>
        <v/>
      </c>
      <c r="BV35" s="47">
        <f>IF('Pasted_Exports'!BV35&lt;&gt;"",'Pasted_Exports'!BV35,'File_Intake'!BV35)</f>
        <v/>
      </c>
      <c r="BW35" s="47">
        <f>IF('Pasted_Exports'!BW35&lt;&gt;"",'Pasted_Exports'!BW35,'File_Intake'!BW35)</f>
        <v/>
      </c>
      <c r="BX35" s="29">
        <f>IF(AND($A35&lt;&gt;"",$B35&lt;&gt;"",$K35&gt;='Study_Setup'!$B$14,$L35&gt;='Study_Setup'!$B$15),1,0)</f>
        <v/>
      </c>
      <c r="BY35" s="30">
        <f>IF($A35="","",TEXTJOIN("; ",TRUE,IF($B35="","Missing arm",""),IF($K35&lt;'Study_Setup'!$B$14,"Low off-days",""),IF($L35&lt;'Study_Setup'!$B$15,"Low on-days",""),IF($AM35&gt;'Study_Setup'!$B$19,"Hypo burden increased","")))</f>
        <v/>
      </c>
      <c r="BZ35" s="61">
        <f>IFERROR($M35-$N35,"")</f>
        <v/>
      </c>
      <c r="CA35" s="62">
        <f>IFERROR(($M35-$N35)/$M35,"")</f>
        <v/>
      </c>
      <c r="CB35" s="33">
        <f>IFERROR($P35-$Q35,"")</f>
        <v/>
      </c>
      <c r="CC35" s="63">
        <f>IFERROR($T35-$S35,"")</f>
        <v/>
      </c>
      <c r="CD35" s="33">
        <f>IFERROR($AH35-$AI35,"")</f>
        <v/>
      </c>
      <c r="CE35" s="62">
        <f>IFERROR(($AH35-$AI35)/$AH35,"")</f>
        <v/>
      </c>
      <c r="CF35" s="33">
        <f>IFERROR($AQ35-$AR35,"")</f>
        <v/>
      </c>
      <c r="CG35" s="61">
        <f>IFERROR($BO35-$BP35,"")</f>
        <v/>
      </c>
      <c r="CH35" s="61">
        <f>IFERROR($BI35-$BJ35,"")</f>
        <v/>
      </c>
      <c r="CI35" s="61">
        <f>IFERROR($BL35-$BM35,"")</f>
        <v/>
      </c>
      <c r="CJ35" s="61">
        <f>IFERROR($BF35-$BG35,"")</f>
        <v/>
      </c>
      <c r="CK35" s="33">
        <f>IFERROR($BC35-$BD35,"")</f>
        <v/>
      </c>
      <c r="CL35" s="29">
        <f>IF($A35="","",IF($AM35&lt;='Study_Setup'!$B$19,1,0))</f>
        <v/>
      </c>
      <c r="CM35" s="29">
        <f>IF($A35="","",IF(AND($BZ35&gt;='Study_Setup'!$B$16,$CC35&gt;='Study_Setup'!$B$17,$CE35&gt;='Study_Setup'!$B$18,$CL35=1),1,0))</f>
        <v/>
      </c>
      <c r="CN35" s="61">
        <f>IFERROR(40*MIN(1,$BZ35/'Study_Setup'!$B$16)+25*MIN(1,$CC35/'Study_Setup'!$B$17)+25*MIN(1,$CE35/'Study_Setup'!$B$18)+10*$CL35,"")</f>
        <v/>
      </c>
      <c r="CO35">
        <f>IF('Pasted_Exports'!BX35&lt;&gt;"",'Pasted_Exports'!BX35,'File_Intake'!BX35)</f>
        <v/>
      </c>
      <c r="CP35" s="57">
        <f>IF('Pasted_Exports'!BY35&lt;&gt;"",'Pasted_Exports'!BY35,'File_Intake'!BY35)</f>
        <v/>
      </c>
      <c r="CQ35" s="57">
        <f>IF('Pasted_Exports'!BZ35&lt;&gt;"",'Pasted_Exports'!BZ35,'File_Intake'!BZ35)</f>
        <v/>
      </c>
      <c r="CR35" s="57">
        <f>IF('Pasted_Exports'!CA35&lt;&gt;"",'Pasted_Exports'!CA35,'File_Intake'!CA35)</f>
        <v/>
      </c>
      <c r="CS35" s="58">
        <f>IF('Pasted_Exports'!CB35&lt;&gt;"",'Pasted_Exports'!CB35,'File_Intake'!CB35)</f>
        <v/>
      </c>
      <c r="CT35" s="59">
        <f>IF('Pasted_Exports'!CC35&lt;&gt;"",'Pasted_Exports'!CC35,'File_Intake'!CC35)</f>
        <v/>
      </c>
      <c r="CU35">
        <f>IF('Pasted_Exports'!CD35&lt;&gt;"",'Pasted_Exports'!CD35,'File_Intake'!CD35)</f>
        <v/>
      </c>
      <c r="CV35">
        <f>IF('Pasted_Exports'!CE35&lt;&gt;"",'Pasted_Exports'!CE35,'File_Intake'!CE35)</f>
        <v/>
      </c>
      <c r="CW35" s="60">
        <f>IF('Pasted_Exports'!CF35&lt;&gt;"",'Pasted_Exports'!CF35,'File_Intake'!CF35)</f>
        <v/>
      </c>
      <c r="CX35" s="60">
        <f>IF('Pasted_Exports'!CG35&lt;&gt;"",'Pasted_Exports'!CG35,'File_Intake'!CG35)</f>
        <v/>
      </c>
      <c r="CY35">
        <f>IF('Pasted_Exports'!CH35&lt;&gt;"",'Pasted_Exports'!CH35,'File_Intake'!CH35)</f>
        <v/>
      </c>
    </row>
  </sheetData>
  <mergeCells count="2">
    <mergeCell ref="A3:L3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4" customWidth="1" min="3" max="3"/>
    <col width="10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10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Cohort Statistics - paired within-participant efficacy</t>
        </is>
      </c>
      <c r="B1" s="3" t="n"/>
      <c r="C1" s="3" t="n"/>
      <c r="D1" s="3" t="n"/>
      <c r="E1" s="3" t="n"/>
      <c r="F1" s="3" t="n"/>
      <c r="G1" s="3" t="n"/>
      <c r="H1" s="4" t="n"/>
    </row>
    <row r="4">
      <c r="A4" s="22" t="inlineStr">
        <is>
          <t>Metric</t>
        </is>
      </c>
      <c r="B4" s="22" t="inlineStr">
        <is>
          <t>Unit</t>
        </is>
      </c>
      <c r="C4" s="22" t="inlineStr">
        <is>
          <t>Investor Use</t>
        </is>
      </c>
      <c r="D4" s="22" t="inlineStr">
        <is>
          <t>N</t>
        </is>
      </c>
      <c r="E4" s="22" t="inlineStr">
        <is>
          <t>Mean</t>
        </is>
      </c>
      <c r="F4" s="22" t="inlineStr">
        <is>
          <t>SD</t>
        </is>
      </c>
      <c r="G4" s="22" t="inlineStr">
        <is>
          <t>SE</t>
        </is>
      </c>
      <c r="H4" s="22" t="inlineStr">
        <is>
          <t>95% CI Low</t>
        </is>
      </c>
      <c r="I4" s="22" t="inlineStr">
        <is>
          <t>95% CI High</t>
        </is>
      </c>
      <c r="J4" s="22" t="inlineStr">
        <is>
          <t>p-value vs 0</t>
        </is>
      </c>
      <c r="K4" s="22" t="inlineStr">
        <is>
          <t>Once N</t>
        </is>
      </c>
      <c r="L4" s="22" t="inlineStr">
        <is>
          <t>Once Mean</t>
        </is>
      </c>
      <c r="M4" s="22" t="inlineStr">
        <is>
          <t>Twice N</t>
        </is>
      </c>
      <c r="N4" s="22" t="inlineStr">
        <is>
          <t>Twice Mean</t>
        </is>
      </c>
      <c r="O4" s="22" t="inlineStr">
        <is>
          <t>Twice - Once</t>
        </is>
      </c>
      <c r="P4" s="22" t="inlineStr">
        <is>
          <t>Between-arm p</t>
        </is>
      </c>
    </row>
    <row r="5">
      <c r="A5" s="15" t="inlineStr">
        <is>
          <t>Mean Glucose Reduction</t>
        </is>
      </c>
      <c r="B5" s="15" t="inlineStr">
        <is>
          <t>mg/dL</t>
        </is>
      </c>
      <c r="C5" s="15" t="inlineStr">
        <is>
          <t>Primary: lower mean glucose on treatment</t>
        </is>
      </c>
      <c r="D5" s="64">
        <f>IFERROR(COUNT(FILTER('Participant_Metrics'!$BZ$6:$BZ$35,('Participant_Metrics'!$BX$6:$BX$35=1)*ISNUMBER('Participant_Metrics'!$BZ$6:$BZ$35))),0)</f>
        <v/>
      </c>
      <c r="E5" s="64">
        <f>IFERROR(AVERAGE(FILTER('Participant_Metrics'!$BZ$6:$BZ$35,('Participant_Metrics'!$BX$6:$BX$35=1)*ISNUMBER('Participant_Metrics'!$BZ$6:$BZ$35))),"")</f>
        <v/>
      </c>
      <c r="F5" s="64">
        <f>IFERROR(STDEV.S(FILTER('Participant_Metrics'!$BZ$6:$BZ$35,('Participant_Metrics'!$BX$6:$BX$35=1)*ISNUMBER('Participant_Metrics'!$BZ$6:$BZ$35))),"")</f>
        <v/>
      </c>
      <c r="G5" s="64">
        <f>IF(D5&gt;1,F5/SQRT(D5),"")</f>
        <v/>
      </c>
      <c r="H5" s="64">
        <f>IF(D5&gt;1,E5-T.INV.2T(0.05,D5-1)*G5,"")</f>
        <v/>
      </c>
      <c r="I5" s="64">
        <f>IF(D5&gt;1,E5+T.INV.2T(0.05,D5-1)*G5,"")</f>
        <v/>
      </c>
      <c r="J5" s="36">
        <f>IF(D5&gt;1,T.DIST.2T(ABS(E5/G5),D5-1),"")</f>
        <v/>
      </c>
      <c r="K5" s="64">
        <f>IFERROR(COUNT(FILTER('Participant_Metrics'!$BZ$6:$BZ$35,('Participant_Metrics'!$BX$6:$BX$35=1)*('Participant_Metrics'!$B$6:$B$35="Once Daily")*ISNUMBER('Participant_Metrics'!$BZ$6:$BZ$35))),0)</f>
        <v/>
      </c>
      <c r="L5" s="64">
        <f>IFERROR(AVERAGE(FILTER('Participant_Metrics'!$BZ$6:$BZ$35,('Participant_Metrics'!$BX$6:$BX$35=1)*('Participant_Metrics'!$B$6:$B$35="Once Daily")*ISNUMBER('Participant_Metrics'!$BZ$6:$BZ$35))),"")</f>
        <v/>
      </c>
      <c r="M5" s="64">
        <f>IFERROR(COUNT(FILTER('Participant_Metrics'!$BZ$6:$BZ$35,('Participant_Metrics'!$BX$6:$BX$35=1)*('Participant_Metrics'!$B$6:$B$35="Twice Daily")*ISNUMBER('Participant_Metrics'!$BZ$6:$BZ$35))),0)</f>
        <v/>
      </c>
      <c r="N5" s="64">
        <f>IFERROR(AVERAGE(FILTER('Participant_Metrics'!$BZ$6:$BZ$35,('Participant_Metrics'!$BX$6:$BX$35=1)*('Participant_Metrics'!$B$6:$B$35="Twice Daily")*ISNUMBER('Participant_Metrics'!$BZ$6:$BZ$35))),"")</f>
        <v/>
      </c>
      <c r="O5" s="64">
        <f>IFERROR(N5-L5,"")</f>
        <v/>
      </c>
      <c r="P5" s="36">
        <f>IFERROR(T.TEST(FILTER('Participant_Metrics'!$BZ$6:$BZ$35,('Participant_Metrics'!$BX$6:$BX$35=1)*('Participant_Metrics'!$B$6:$B$35="Once Daily")*ISNUMBER('Participant_Metrics'!$BZ$6:$BZ$35)),FILTER('Participant_Metrics'!$BZ$6:$BZ$35,('Participant_Metrics'!$BX$6:$BX$35=1)*('Participant_Metrics'!$B$6:$B$35="Twice Daily")*ISNUMBER('Participant_Metrics'!$BZ$6:$BZ$35)),2,3),"")</f>
        <v/>
      </c>
    </row>
    <row r="6">
      <c r="A6" s="15" t="inlineStr">
        <is>
          <t>TIR Gain</t>
        </is>
      </c>
      <c r="B6" s="15" t="inlineStr">
        <is>
          <t>percentage points</t>
        </is>
      </c>
      <c r="C6" s="15" t="inlineStr">
        <is>
          <t>Primary CGM time-in-range improvement</t>
        </is>
      </c>
      <c r="D6" s="64">
        <f>IFERROR(COUNT(FILTER('Participant_Metrics'!$CC$6:$CC$35,('Participant_Metrics'!$BX$6:$BX$35=1)*ISNUMBER('Participant_Metrics'!$CC$6:$CC$35))),0)</f>
        <v/>
      </c>
      <c r="E6" s="64">
        <f>IFERROR(AVERAGE(FILTER('Participant_Metrics'!$CC$6:$CC$35,('Participant_Metrics'!$BX$6:$BX$35=1)*ISNUMBER('Participant_Metrics'!$CC$6:$CC$35))),"")</f>
        <v/>
      </c>
      <c r="F6" s="64">
        <f>IFERROR(STDEV.S(FILTER('Participant_Metrics'!$CC$6:$CC$35,('Participant_Metrics'!$BX$6:$BX$35=1)*ISNUMBER('Participant_Metrics'!$CC$6:$CC$35))),"")</f>
        <v/>
      </c>
      <c r="G6" s="64">
        <f>IF(D6&gt;1,F6/SQRT(D6),"")</f>
        <v/>
      </c>
      <c r="H6" s="64">
        <f>IF(D6&gt;1,E6-T.INV.2T(0.05,D6-1)*G6,"")</f>
        <v/>
      </c>
      <c r="I6" s="64">
        <f>IF(D6&gt;1,E6+T.INV.2T(0.05,D6-1)*G6,"")</f>
        <v/>
      </c>
      <c r="J6" s="36">
        <f>IF(D6&gt;1,T.DIST.2T(ABS(E6/G6),D6-1),"")</f>
        <v/>
      </c>
      <c r="K6" s="64">
        <f>IFERROR(COUNT(FILTER('Participant_Metrics'!$CC$6:$CC$35,('Participant_Metrics'!$BX$6:$BX$35=1)*('Participant_Metrics'!$B$6:$B$35="Once Daily")*ISNUMBER('Participant_Metrics'!$CC$6:$CC$35))),0)</f>
        <v/>
      </c>
      <c r="L6" s="64">
        <f>IFERROR(AVERAGE(FILTER('Participant_Metrics'!$CC$6:$CC$35,('Participant_Metrics'!$BX$6:$BX$35=1)*('Participant_Metrics'!$B$6:$B$35="Once Daily")*ISNUMBER('Participant_Metrics'!$CC$6:$CC$35))),"")</f>
        <v/>
      </c>
      <c r="M6" s="64">
        <f>IFERROR(COUNT(FILTER('Participant_Metrics'!$CC$6:$CC$35,('Participant_Metrics'!$BX$6:$BX$35=1)*('Participant_Metrics'!$B$6:$B$35="Twice Daily")*ISNUMBER('Participant_Metrics'!$CC$6:$CC$35))),0)</f>
        <v/>
      </c>
      <c r="N6" s="64">
        <f>IFERROR(AVERAGE(FILTER('Participant_Metrics'!$CC$6:$CC$35,('Participant_Metrics'!$BX$6:$BX$35=1)*('Participant_Metrics'!$B$6:$B$35="Twice Daily")*ISNUMBER('Participant_Metrics'!$CC$6:$CC$35))),"")</f>
        <v/>
      </c>
      <c r="O6" s="64">
        <f>IFERROR(N6-L6,"")</f>
        <v/>
      </c>
      <c r="P6" s="36">
        <f>IFERROR(T.TEST(FILTER('Participant_Metrics'!$CC$6:$CC$35,('Participant_Metrics'!$BX$6:$BX$35=1)*('Participant_Metrics'!$B$6:$B$35="Once Daily")*ISNUMBER('Participant_Metrics'!$CC$6:$CC$35)),FILTER('Participant_Metrics'!$CC$6:$CC$35,('Participant_Metrics'!$BX$6:$BX$35=1)*('Participant_Metrics'!$B$6:$B$35="Twice Daily")*ISNUMBER('Participant_Metrics'!$CC$6:$CC$35)),2,3),"")</f>
        <v/>
      </c>
    </row>
    <row r="7">
      <c r="A7" s="15" t="inlineStr">
        <is>
          <t>Hyper AUC Reduction %</t>
        </is>
      </c>
      <c r="B7" s="15" t="inlineStr">
        <is>
          <t>%</t>
        </is>
      </c>
      <c r="C7" s="15" t="inlineStr">
        <is>
          <t>Primary burden metric, normalized for phase length</t>
        </is>
      </c>
      <c r="D7" s="64">
        <f>IFERROR(COUNT(FILTER('Participant_Metrics'!$CE$6:$CE$35,('Participant_Metrics'!$BX$6:$BX$35=1)*ISNUMBER('Participant_Metrics'!$CE$6:$CE$35))),0)</f>
        <v/>
      </c>
      <c r="E7" s="65">
        <f>IFERROR(AVERAGE(FILTER('Participant_Metrics'!$CE$6:$CE$35,('Participant_Metrics'!$BX$6:$BX$35=1)*ISNUMBER('Participant_Metrics'!$CE$6:$CE$35))),"")</f>
        <v/>
      </c>
      <c r="F7" s="65">
        <f>IFERROR(STDEV.S(FILTER('Participant_Metrics'!$CE$6:$CE$35,('Participant_Metrics'!$BX$6:$BX$35=1)*ISNUMBER('Participant_Metrics'!$CE$6:$CE$35))),"")</f>
        <v/>
      </c>
      <c r="G7" s="65">
        <f>IF(D7&gt;1,F7/SQRT(D7),"")</f>
        <v/>
      </c>
      <c r="H7" s="65">
        <f>IF(D7&gt;1,E7-T.INV.2T(0.05,D7-1)*G7,"")</f>
        <v/>
      </c>
      <c r="I7" s="65">
        <f>IF(D7&gt;1,E7+T.INV.2T(0.05,D7-1)*G7,"")</f>
        <v/>
      </c>
      <c r="J7" s="36">
        <f>IF(D7&gt;1,T.DIST.2T(ABS(E7/G7),D7-1),"")</f>
        <v/>
      </c>
      <c r="K7" s="64">
        <f>IFERROR(COUNT(FILTER('Participant_Metrics'!$CE$6:$CE$35,('Participant_Metrics'!$BX$6:$BX$35=1)*('Participant_Metrics'!$B$6:$B$35="Once Daily")*ISNUMBER('Participant_Metrics'!$CE$6:$CE$35))),0)</f>
        <v/>
      </c>
      <c r="L7" s="65">
        <f>IFERROR(AVERAGE(FILTER('Participant_Metrics'!$CE$6:$CE$35,('Participant_Metrics'!$BX$6:$BX$35=1)*('Participant_Metrics'!$B$6:$B$35="Once Daily")*ISNUMBER('Participant_Metrics'!$CE$6:$CE$35))),"")</f>
        <v/>
      </c>
      <c r="M7" s="64">
        <f>IFERROR(COUNT(FILTER('Participant_Metrics'!$CE$6:$CE$35,('Participant_Metrics'!$BX$6:$BX$35=1)*('Participant_Metrics'!$B$6:$B$35="Twice Daily")*ISNUMBER('Participant_Metrics'!$CE$6:$CE$35))),0)</f>
        <v/>
      </c>
      <c r="N7" s="65">
        <f>IFERROR(AVERAGE(FILTER('Participant_Metrics'!$CE$6:$CE$35,('Participant_Metrics'!$BX$6:$BX$35=1)*('Participant_Metrics'!$B$6:$B$35="Twice Daily")*ISNUMBER('Participant_Metrics'!$CE$6:$CE$35))),"")</f>
        <v/>
      </c>
      <c r="O7" s="65">
        <f>IFERROR(N7-L7,"")</f>
        <v/>
      </c>
      <c r="P7" s="36">
        <f>IFERROR(T.TEST(FILTER('Participant_Metrics'!$CE$6:$CE$35,('Participant_Metrics'!$BX$6:$BX$35=1)*('Participant_Metrics'!$B$6:$B$35="Once Daily")*ISNUMBER('Participant_Metrics'!$CE$6:$CE$35)),FILTER('Participant_Metrics'!$CE$6:$CE$35,('Participant_Metrics'!$BX$6:$BX$35=1)*('Participant_Metrics'!$B$6:$B$35="Twice Daily")*ISNUMBER('Participant_Metrics'!$CE$6:$CE$35)),2,3),"")</f>
        <v/>
      </c>
    </row>
    <row r="8">
      <c r="A8" s="15" t="inlineStr">
        <is>
          <t>GMI Reduction</t>
        </is>
      </c>
      <c r="B8" s="15" t="inlineStr">
        <is>
          <t>%</t>
        </is>
      </c>
      <c r="C8" s="15" t="inlineStr">
        <is>
          <t>Estimated A1c directionality</t>
        </is>
      </c>
      <c r="D8" s="64">
        <f>IFERROR(COUNT(FILTER('Participant_Metrics'!$CB$6:$CB$35,('Participant_Metrics'!$BX$6:$BX$35=1)*ISNUMBER('Participant_Metrics'!$CB$6:$CB$35))),0)</f>
        <v/>
      </c>
      <c r="E8" s="64">
        <f>IFERROR(AVERAGE(FILTER('Participant_Metrics'!$CB$6:$CB$35,('Participant_Metrics'!$BX$6:$BX$35=1)*ISNUMBER('Participant_Metrics'!$CB$6:$CB$35))),"")</f>
        <v/>
      </c>
      <c r="F8" s="64">
        <f>IFERROR(STDEV.S(FILTER('Participant_Metrics'!$CB$6:$CB$35,('Participant_Metrics'!$BX$6:$BX$35=1)*ISNUMBER('Participant_Metrics'!$CB$6:$CB$35))),"")</f>
        <v/>
      </c>
      <c r="G8" s="64">
        <f>IF(D8&gt;1,F8/SQRT(D8),"")</f>
        <v/>
      </c>
      <c r="H8" s="64">
        <f>IF(D8&gt;1,E8-T.INV.2T(0.05,D8-1)*G8,"")</f>
        <v/>
      </c>
      <c r="I8" s="64">
        <f>IF(D8&gt;1,E8+T.INV.2T(0.05,D8-1)*G8,"")</f>
        <v/>
      </c>
      <c r="J8" s="36">
        <f>IF(D8&gt;1,T.DIST.2T(ABS(E8/G8),D8-1),"")</f>
        <v/>
      </c>
      <c r="K8" s="64">
        <f>IFERROR(COUNT(FILTER('Participant_Metrics'!$CB$6:$CB$35,('Participant_Metrics'!$BX$6:$BX$35=1)*('Participant_Metrics'!$B$6:$B$35="Once Daily")*ISNUMBER('Participant_Metrics'!$CB$6:$CB$35))),0)</f>
        <v/>
      </c>
      <c r="L8" s="64">
        <f>IFERROR(AVERAGE(FILTER('Participant_Metrics'!$CB$6:$CB$35,('Participant_Metrics'!$BX$6:$BX$35=1)*('Participant_Metrics'!$B$6:$B$35="Once Daily")*ISNUMBER('Participant_Metrics'!$CB$6:$CB$35))),"")</f>
        <v/>
      </c>
      <c r="M8" s="64">
        <f>IFERROR(COUNT(FILTER('Participant_Metrics'!$CB$6:$CB$35,('Participant_Metrics'!$BX$6:$BX$35=1)*('Participant_Metrics'!$B$6:$B$35="Twice Daily")*ISNUMBER('Participant_Metrics'!$CB$6:$CB$35))),0)</f>
        <v/>
      </c>
      <c r="N8" s="64">
        <f>IFERROR(AVERAGE(FILTER('Participant_Metrics'!$CB$6:$CB$35,('Participant_Metrics'!$BX$6:$BX$35=1)*('Participant_Metrics'!$B$6:$B$35="Twice Daily")*ISNUMBER('Participant_Metrics'!$CB$6:$CB$35))),"")</f>
        <v/>
      </c>
      <c r="O8" s="64">
        <f>IFERROR(N8-L8,"")</f>
        <v/>
      </c>
      <c r="P8" s="36">
        <f>IFERROR(T.TEST(FILTER('Participant_Metrics'!$CB$6:$CB$35,('Participant_Metrics'!$BX$6:$BX$35=1)*('Participant_Metrics'!$B$6:$B$35="Once Daily")*ISNUMBER('Participant_Metrics'!$CB$6:$CB$35)),FILTER('Participant_Metrics'!$CB$6:$CB$35,('Participant_Metrics'!$BX$6:$BX$35=1)*('Participant_Metrics'!$B$6:$B$35="Twice Daily")*ISNUMBER('Participant_Metrics'!$CB$6:$CB$35)),2,3),"")</f>
        <v/>
      </c>
    </row>
    <row r="9">
      <c r="A9" s="15" t="inlineStr">
        <is>
          <t>HBGI Reduction</t>
        </is>
      </c>
      <c r="B9" s="15" t="inlineStr">
        <is>
          <t>score</t>
        </is>
      </c>
      <c r="C9" s="15" t="inlineStr">
        <is>
          <t>High glucose risk reduction</t>
        </is>
      </c>
      <c r="D9" s="64">
        <f>IFERROR(COUNT(FILTER('Participant_Metrics'!$CF$6:$CF$35,('Participant_Metrics'!$BX$6:$BX$35=1)*ISNUMBER('Participant_Metrics'!$CF$6:$CF$35))),0)</f>
        <v/>
      </c>
      <c r="E9" s="64">
        <f>IFERROR(AVERAGE(FILTER('Participant_Metrics'!$CF$6:$CF$35,('Participant_Metrics'!$BX$6:$BX$35=1)*ISNUMBER('Participant_Metrics'!$CF$6:$CF$35))),"")</f>
        <v/>
      </c>
      <c r="F9" s="64">
        <f>IFERROR(STDEV.S(FILTER('Participant_Metrics'!$CF$6:$CF$35,('Participant_Metrics'!$BX$6:$BX$35=1)*ISNUMBER('Participant_Metrics'!$CF$6:$CF$35))),"")</f>
        <v/>
      </c>
      <c r="G9" s="64">
        <f>IF(D9&gt;1,F9/SQRT(D9),"")</f>
        <v/>
      </c>
      <c r="H9" s="64">
        <f>IF(D9&gt;1,E9-T.INV.2T(0.05,D9-1)*G9,"")</f>
        <v/>
      </c>
      <c r="I9" s="64">
        <f>IF(D9&gt;1,E9+T.INV.2T(0.05,D9-1)*G9,"")</f>
        <v/>
      </c>
      <c r="J9" s="36">
        <f>IF(D9&gt;1,T.DIST.2T(ABS(E9/G9),D9-1),"")</f>
        <v/>
      </c>
      <c r="K9" s="64">
        <f>IFERROR(COUNT(FILTER('Participant_Metrics'!$CF$6:$CF$35,('Participant_Metrics'!$BX$6:$BX$35=1)*('Participant_Metrics'!$B$6:$B$35="Once Daily")*ISNUMBER('Participant_Metrics'!$CF$6:$CF$35))),0)</f>
        <v/>
      </c>
      <c r="L9" s="64">
        <f>IFERROR(AVERAGE(FILTER('Participant_Metrics'!$CF$6:$CF$35,('Participant_Metrics'!$BX$6:$BX$35=1)*('Participant_Metrics'!$B$6:$B$35="Once Daily")*ISNUMBER('Participant_Metrics'!$CF$6:$CF$35))),"")</f>
        <v/>
      </c>
      <c r="M9" s="64">
        <f>IFERROR(COUNT(FILTER('Participant_Metrics'!$CF$6:$CF$35,('Participant_Metrics'!$BX$6:$BX$35=1)*('Participant_Metrics'!$B$6:$B$35="Twice Daily")*ISNUMBER('Participant_Metrics'!$CF$6:$CF$35))),0)</f>
        <v/>
      </c>
      <c r="N9" s="64">
        <f>IFERROR(AVERAGE(FILTER('Participant_Metrics'!$CF$6:$CF$35,('Participant_Metrics'!$BX$6:$BX$35=1)*('Participant_Metrics'!$B$6:$B$35="Twice Daily")*ISNUMBER('Participant_Metrics'!$CF$6:$CF$35))),"")</f>
        <v/>
      </c>
      <c r="O9" s="64">
        <f>IFERROR(N9-L9,"")</f>
        <v/>
      </c>
      <c r="P9" s="36">
        <f>IFERROR(T.TEST(FILTER('Participant_Metrics'!$CF$6:$CF$35,('Participant_Metrics'!$BX$6:$BX$35=1)*('Participant_Metrics'!$B$6:$B$35="Once Daily")*ISNUMBER('Participant_Metrics'!$CF$6:$CF$35)),FILTER('Participant_Metrics'!$CF$6:$CF$35,('Participant_Metrics'!$BX$6:$BX$35=1)*('Participant_Metrics'!$B$6:$B$35="Twice Daily")*ISNUMBER('Participant_Metrics'!$CF$6:$CF$35)),2,3),"")</f>
        <v/>
      </c>
    </row>
    <row r="10">
      <c r="A10" s="15" t="inlineStr">
        <is>
          <t>Fasting 6-9 AM Reduction</t>
        </is>
      </c>
      <c r="B10" s="15" t="inlineStr">
        <is>
          <t>mg/dL</t>
        </is>
      </c>
      <c r="C10" s="15" t="inlineStr">
        <is>
          <t>Metformin hepatic glucose-output signal</t>
        </is>
      </c>
      <c r="D10" s="64">
        <f>IFERROR(COUNT(FILTER('Participant_Metrics'!$CG$6:$CG$35,('Participant_Metrics'!$BX$6:$BX$35=1)*ISNUMBER('Participant_Metrics'!$CG$6:$CG$35))),0)</f>
        <v/>
      </c>
      <c r="E10" s="64">
        <f>IFERROR(AVERAGE(FILTER('Participant_Metrics'!$CG$6:$CG$35,('Participant_Metrics'!$BX$6:$BX$35=1)*ISNUMBER('Participant_Metrics'!$CG$6:$CG$35))),"")</f>
        <v/>
      </c>
      <c r="F10" s="64">
        <f>IFERROR(STDEV.S(FILTER('Participant_Metrics'!$CG$6:$CG$35,('Participant_Metrics'!$BX$6:$BX$35=1)*ISNUMBER('Participant_Metrics'!$CG$6:$CG$35))),"")</f>
        <v/>
      </c>
      <c r="G10" s="64">
        <f>IF(D10&gt;1,F10/SQRT(D10),"")</f>
        <v/>
      </c>
      <c r="H10" s="64">
        <f>IF(D10&gt;1,E10-T.INV.2T(0.05,D10-1)*G10,"")</f>
        <v/>
      </c>
      <c r="I10" s="64">
        <f>IF(D10&gt;1,E10+T.INV.2T(0.05,D10-1)*G10,"")</f>
        <v/>
      </c>
      <c r="J10" s="36">
        <f>IF(D10&gt;1,T.DIST.2T(ABS(E10/G10),D10-1),"")</f>
        <v/>
      </c>
      <c r="K10" s="64">
        <f>IFERROR(COUNT(FILTER('Participant_Metrics'!$CG$6:$CG$35,('Participant_Metrics'!$BX$6:$BX$35=1)*('Participant_Metrics'!$B$6:$B$35="Once Daily")*ISNUMBER('Participant_Metrics'!$CG$6:$CG$35))),0)</f>
        <v/>
      </c>
      <c r="L10" s="64">
        <f>IFERROR(AVERAGE(FILTER('Participant_Metrics'!$CG$6:$CG$35,('Participant_Metrics'!$BX$6:$BX$35=1)*('Participant_Metrics'!$B$6:$B$35="Once Daily")*ISNUMBER('Participant_Metrics'!$CG$6:$CG$35))),"")</f>
        <v/>
      </c>
      <c r="M10" s="64">
        <f>IFERROR(COUNT(FILTER('Participant_Metrics'!$CG$6:$CG$35,('Participant_Metrics'!$BX$6:$BX$35=1)*('Participant_Metrics'!$B$6:$B$35="Twice Daily")*ISNUMBER('Participant_Metrics'!$CG$6:$CG$35))),0)</f>
        <v/>
      </c>
      <c r="N10" s="64">
        <f>IFERROR(AVERAGE(FILTER('Participant_Metrics'!$CG$6:$CG$35,('Participant_Metrics'!$BX$6:$BX$35=1)*('Participant_Metrics'!$B$6:$B$35="Twice Daily")*ISNUMBER('Participant_Metrics'!$CG$6:$CG$35))),"")</f>
        <v/>
      </c>
      <c r="O10" s="64">
        <f>IFERROR(N10-L10,"")</f>
        <v/>
      </c>
      <c r="P10" s="36">
        <f>IFERROR(T.TEST(FILTER('Participant_Metrics'!$CG$6:$CG$35,('Participant_Metrics'!$BX$6:$BX$35=1)*('Participant_Metrics'!$B$6:$B$35="Once Daily")*ISNUMBER('Participant_Metrics'!$CG$6:$CG$35)),FILTER('Participant_Metrics'!$CG$6:$CG$35,('Participant_Metrics'!$BX$6:$BX$35=1)*('Participant_Metrics'!$B$6:$B$35="Twice Daily")*ISNUMBER('Participant_Metrics'!$CG$6:$CG$35)),2,3),"")</f>
        <v/>
      </c>
    </row>
    <row r="11">
      <c r="A11" s="15" t="inlineStr">
        <is>
          <t>Overnight 12-3 AM Reduction</t>
        </is>
      </c>
      <c r="B11" s="15" t="inlineStr">
        <is>
          <t>mg/dL</t>
        </is>
      </c>
      <c r="C11" s="15" t="inlineStr">
        <is>
          <t>Overnight baseline suppression</t>
        </is>
      </c>
      <c r="D11" s="64">
        <f>IFERROR(COUNT(FILTER('Participant_Metrics'!$CH$6:$CH$35,('Participant_Metrics'!$BX$6:$BX$35=1)*ISNUMBER('Participant_Metrics'!$CH$6:$CH$35))),0)</f>
        <v/>
      </c>
      <c r="E11" s="64">
        <f>IFERROR(AVERAGE(FILTER('Participant_Metrics'!$CH$6:$CH$35,('Participant_Metrics'!$BX$6:$BX$35=1)*ISNUMBER('Participant_Metrics'!$CH$6:$CH$35))),"")</f>
        <v/>
      </c>
      <c r="F11" s="64">
        <f>IFERROR(STDEV.S(FILTER('Participant_Metrics'!$CH$6:$CH$35,('Participant_Metrics'!$BX$6:$BX$35=1)*ISNUMBER('Participant_Metrics'!$CH$6:$CH$35))),"")</f>
        <v/>
      </c>
      <c r="G11" s="64">
        <f>IF(D11&gt;1,F11/SQRT(D11),"")</f>
        <v/>
      </c>
      <c r="H11" s="64">
        <f>IF(D11&gt;1,E11-T.INV.2T(0.05,D11-1)*G11,"")</f>
        <v/>
      </c>
      <c r="I11" s="64">
        <f>IF(D11&gt;1,E11+T.INV.2T(0.05,D11-1)*G11,"")</f>
        <v/>
      </c>
      <c r="J11" s="36">
        <f>IF(D11&gt;1,T.DIST.2T(ABS(E11/G11),D11-1),"")</f>
        <v/>
      </c>
      <c r="K11" s="64">
        <f>IFERROR(COUNT(FILTER('Participant_Metrics'!$CH$6:$CH$35,('Participant_Metrics'!$BX$6:$BX$35=1)*('Participant_Metrics'!$B$6:$B$35="Once Daily")*ISNUMBER('Participant_Metrics'!$CH$6:$CH$35))),0)</f>
        <v/>
      </c>
      <c r="L11" s="64">
        <f>IFERROR(AVERAGE(FILTER('Participant_Metrics'!$CH$6:$CH$35,('Participant_Metrics'!$BX$6:$BX$35=1)*('Participant_Metrics'!$B$6:$B$35="Once Daily")*ISNUMBER('Participant_Metrics'!$CH$6:$CH$35))),"")</f>
        <v/>
      </c>
      <c r="M11" s="64">
        <f>IFERROR(COUNT(FILTER('Participant_Metrics'!$CH$6:$CH$35,('Participant_Metrics'!$BX$6:$BX$35=1)*('Participant_Metrics'!$B$6:$B$35="Twice Daily")*ISNUMBER('Participant_Metrics'!$CH$6:$CH$35))),0)</f>
        <v/>
      </c>
      <c r="N11" s="64">
        <f>IFERROR(AVERAGE(FILTER('Participant_Metrics'!$CH$6:$CH$35,('Participant_Metrics'!$BX$6:$BX$35=1)*('Participant_Metrics'!$B$6:$B$35="Twice Daily")*ISNUMBER('Participant_Metrics'!$CH$6:$CH$35))),"")</f>
        <v/>
      </c>
      <c r="O11" s="64">
        <f>IFERROR(N11-L11,"")</f>
        <v/>
      </c>
      <c r="P11" s="36">
        <f>IFERROR(T.TEST(FILTER('Participant_Metrics'!$CH$6:$CH$35,('Participant_Metrics'!$BX$6:$BX$35=1)*('Participant_Metrics'!$B$6:$B$35="Once Daily")*ISNUMBER('Participant_Metrics'!$CH$6:$CH$35)),FILTER('Participant_Metrics'!$CH$6:$CH$35,('Participant_Metrics'!$BX$6:$BX$35=1)*('Participant_Metrics'!$B$6:$B$35="Twice Daily")*ISNUMBER('Participant_Metrics'!$CH$6:$CH$35)),2,3),"")</f>
        <v/>
      </c>
    </row>
    <row r="12">
      <c r="A12" s="15" t="inlineStr">
        <is>
          <t>Dawn 3-6 AM Reduction</t>
        </is>
      </c>
      <c r="B12" s="15" t="inlineStr">
        <is>
          <t>mg/dL</t>
        </is>
      </c>
      <c r="C12" s="15" t="inlineStr">
        <is>
          <t>Dawn phenomenon signal</t>
        </is>
      </c>
      <c r="D12" s="64">
        <f>IFERROR(COUNT(FILTER('Participant_Metrics'!$CI$6:$CI$35,('Participant_Metrics'!$BX$6:$BX$35=1)*ISNUMBER('Participant_Metrics'!$CI$6:$CI$35))),0)</f>
        <v/>
      </c>
      <c r="E12" s="64">
        <f>IFERROR(AVERAGE(FILTER('Participant_Metrics'!$CI$6:$CI$35,('Participant_Metrics'!$BX$6:$BX$35=1)*ISNUMBER('Participant_Metrics'!$CI$6:$CI$35))),"")</f>
        <v/>
      </c>
      <c r="F12" s="64">
        <f>IFERROR(STDEV.S(FILTER('Participant_Metrics'!$CI$6:$CI$35,('Participant_Metrics'!$BX$6:$BX$35=1)*ISNUMBER('Participant_Metrics'!$CI$6:$CI$35))),"")</f>
        <v/>
      </c>
      <c r="G12" s="64">
        <f>IF(D12&gt;1,F12/SQRT(D12),"")</f>
        <v/>
      </c>
      <c r="H12" s="64">
        <f>IF(D12&gt;1,E12-T.INV.2T(0.05,D12-1)*G12,"")</f>
        <v/>
      </c>
      <c r="I12" s="64">
        <f>IF(D12&gt;1,E12+T.INV.2T(0.05,D12-1)*G12,"")</f>
        <v/>
      </c>
      <c r="J12" s="36">
        <f>IF(D12&gt;1,T.DIST.2T(ABS(E12/G12),D12-1),"")</f>
        <v/>
      </c>
      <c r="K12" s="64">
        <f>IFERROR(COUNT(FILTER('Participant_Metrics'!$CI$6:$CI$35,('Participant_Metrics'!$BX$6:$BX$35=1)*('Participant_Metrics'!$B$6:$B$35="Once Daily")*ISNUMBER('Participant_Metrics'!$CI$6:$CI$35))),0)</f>
        <v/>
      </c>
      <c r="L12" s="64">
        <f>IFERROR(AVERAGE(FILTER('Participant_Metrics'!$CI$6:$CI$35,('Participant_Metrics'!$BX$6:$BX$35=1)*('Participant_Metrics'!$B$6:$B$35="Once Daily")*ISNUMBER('Participant_Metrics'!$CI$6:$CI$35))),"")</f>
        <v/>
      </c>
      <c r="M12" s="64">
        <f>IFERROR(COUNT(FILTER('Participant_Metrics'!$CI$6:$CI$35,('Participant_Metrics'!$BX$6:$BX$35=1)*('Participant_Metrics'!$B$6:$B$35="Twice Daily")*ISNUMBER('Participant_Metrics'!$CI$6:$CI$35))),0)</f>
        <v/>
      </c>
      <c r="N12" s="64">
        <f>IFERROR(AVERAGE(FILTER('Participant_Metrics'!$CI$6:$CI$35,('Participant_Metrics'!$BX$6:$BX$35=1)*('Participant_Metrics'!$B$6:$B$35="Twice Daily")*ISNUMBER('Participant_Metrics'!$CI$6:$CI$35))),"")</f>
        <v/>
      </c>
      <c r="O12" s="64">
        <f>IFERROR(N12-L12,"")</f>
        <v/>
      </c>
      <c r="P12" s="36">
        <f>IFERROR(T.TEST(FILTER('Participant_Metrics'!$CI$6:$CI$35,('Participant_Metrics'!$BX$6:$BX$35=1)*('Participant_Metrics'!$B$6:$B$35="Once Daily")*ISNUMBER('Participant_Metrics'!$CI$6:$CI$35)),FILTER('Participant_Metrics'!$CI$6:$CI$35,('Participant_Metrics'!$BX$6:$BX$35=1)*('Participant_Metrics'!$B$6:$B$35="Twice Daily")*ISNUMBER('Participant_Metrics'!$CI$6:$CI$35)),2,3),"")</f>
        <v/>
      </c>
    </row>
    <row r="13">
      <c r="A13" s="15" t="inlineStr">
        <is>
          <t>GRI Reduction</t>
        </is>
      </c>
      <c r="B13" s="15" t="inlineStr">
        <is>
          <t>score</t>
        </is>
      </c>
      <c r="C13" s="15" t="inlineStr">
        <is>
          <t>Composite glycemic risk reduction</t>
        </is>
      </c>
      <c r="D13" s="64">
        <f>IFERROR(COUNT(FILTER('Participant_Metrics'!$CJ$6:$CJ$35,('Participant_Metrics'!$BX$6:$BX$35=1)*ISNUMBER('Participant_Metrics'!$CJ$6:$CJ$35))),0)</f>
        <v/>
      </c>
      <c r="E13" s="64">
        <f>IFERROR(AVERAGE(FILTER('Participant_Metrics'!$CJ$6:$CJ$35,('Participant_Metrics'!$BX$6:$BX$35=1)*ISNUMBER('Participant_Metrics'!$CJ$6:$CJ$35))),"")</f>
        <v/>
      </c>
      <c r="F13" s="64">
        <f>IFERROR(STDEV.S(FILTER('Participant_Metrics'!$CJ$6:$CJ$35,('Participant_Metrics'!$BX$6:$BX$35=1)*ISNUMBER('Participant_Metrics'!$CJ$6:$CJ$35))),"")</f>
        <v/>
      </c>
      <c r="G13" s="64">
        <f>IF(D13&gt;1,F13/SQRT(D13),"")</f>
        <v/>
      </c>
      <c r="H13" s="64">
        <f>IF(D13&gt;1,E13-T.INV.2T(0.05,D13-1)*G13,"")</f>
        <v/>
      </c>
      <c r="I13" s="64">
        <f>IF(D13&gt;1,E13+T.INV.2T(0.05,D13-1)*G13,"")</f>
        <v/>
      </c>
      <c r="J13" s="36">
        <f>IF(D13&gt;1,T.DIST.2T(ABS(E13/G13),D13-1),"")</f>
        <v/>
      </c>
      <c r="K13" s="64">
        <f>IFERROR(COUNT(FILTER('Participant_Metrics'!$CJ$6:$CJ$35,('Participant_Metrics'!$BX$6:$BX$35=1)*('Participant_Metrics'!$B$6:$B$35="Once Daily")*ISNUMBER('Participant_Metrics'!$CJ$6:$CJ$35))),0)</f>
        <v/>
      </c>
      <c r="L13" s="64">
        <f>IFERROR(AVERAGE(FILTER('Participant_Metrics'!$CJ$6:$CJ$35,('Participant_Metrics'!$BX$6:$BX$35=1)*('Participant_Metrics'!$B$6:$B$35="Once Daily")*ISNUMBER('Participant_Metrics'!$CJ$6:$CJ$35))),"")</f>
        <v/>
      </c>
      <c r="M13" s="64">
        <f>IFERROR(COUNT(FILTER('Participant_Metrics'!$CJ$6:$CJ$35,('Participant_Metrics'!$BX$6:$BX$35=1)*('Participant_Metrics'!$B$6:$B$35="Twice Daily")*ISNUMBER('Participant_Metrics'!$CJ$6:$CJ$35))),0)</f>
        <v/>
      </c>
      <c r="N13" s="64">
        <f>IFERROR(AVERAGE(FILTER('Participant_Metrics'!$CJ$6:$CJ$35,('Participant_Metrics'!$BX$6:$BX$35=1)*('Participant_Metrics'!$B$6:$B$35="Twice Daily")*ISNUMBER('Participant_Metrics'!$CJ$6:$CJ$35))),"")</f>
        <v/>
      </c>
      <c r="O13" s="64">
        <f>IFERROR(N13-L13,"")</f>
        <v/>
      </c>
      <c r="P13" s="36">
        <f>IFERROR(T.TEST(FILTER('Participant_Metrics'!$CJ$6:$CJ$35,('Participant_Metrics'!$BX$6:$BX$35=1)*('Participant_Metrics'!$B$6:$B$35="Once Daily")*ISNUMBER('Participant_Metrics'!$CJ$6:$CJ$35)),FILTER('Participant_Metrics'!$CJ$6:$CJ$35,('Participant_Metrics'!$BX$6:$BX$35=1)*('Participant_Metrics'!$B$6:$B$35="Twice Daily")*ISNUMBER('Participant_Metrics'!$CJ$6:$CJ$35)),2,3),"")</f>
        <v/>
      </c>
    </row>
    <row r="14">
      <c r="A14" s="15" t="inlineStr">
        <is>
          <t>M Value Reduction</t>
        </is>
      </c>
      <c r="B14" s="15" t="inlineStr">
        <is>
          <t>score</t>
        </is>
      </c>
      <c r="C14" s="15" t="inlineStr">
        <is>
          <t>Deviation-from-ideal score reduction</t>
        </is>
      </c>
      <c r="D14" s="64">
        <f>IFERROR(COUNT(FILTER('Participant_Metrics'!$CK$6:$CK$35,('Participant_Metrics'!$BX$6:$BX$35=1)*ISNUMBER('Participant_Metrics'!$CK$6:$CK$35))),0)</f>
        <v/>
      </c>
      <c r="E14" s="64">
        <f>IFERROR(AVERAGE(FILTER('Participant_Metrics'!$CK$6:$CK$35,('Participant_Metrics'!$BX$6:$BX$35=1)*ISNUMBER('Participant_Metrics'!$CK$6:$CK$35))),"")</f>
        <v/>
      </c>
      <c r="F14" s="64">
        <f>IFERROR(STDEV.S(FILTER('Participant_Metrics'!$CK$6:$CK$35,('Participant_Metrics'!$BX$6:$BX$35=1)*ISNUMBER('Participant_Metrics'!$CK$6:$CK$35))),"")</f>
        <v/>
      </c>
      <c r="G14" s="64">
        <f>IF(D14&gt;1,F14/SQRT(D14),"")</f>
        <v/>
      </c>
      <c r="H14" s="64">
        <f>IF(D14&gt;1,E14-T.INV.2T(0.05,D14-1)*G14,"")</f>
        <v/>
      </c>
      <c r="I14" s="64">
        <f>IF(D14&gt;1,E14+T.INV.2T(0.05,D14-1)*G14,"")</f>
        <v/>
      </c>
      <c r="J14" s="36">
        <f>IF(D14&gt;1,T.DIST.2T(ABS(E14/G14),D14-1),"")</f>
        <v/>
      </c>
      <c r="K14" s="64">
        <f>IFERROR(COUNT(FILTER('Participant_Metrics'!$CK$6:$CK$35,('Participant_Metrics'!$BX$6:$BX$35=1)*('Participant_Metrics'!$B$6:$B$35="Once Daily")*ISNUMBER('Participant_Metrics'!$CK$6:$CK$35))),0)</f>
        <v/>
      </c>
      <c r="L14" s="64">
        <f>IFERROR(AVERAGE(FILTER('Participant_Metrics'!$CK$6:$CK$35,('Participant_Metrics'!$BX$6:$BX$35=1)*('Participant_Metrics'!$B$6:$B$35="Once Daily")*ISNUMBER('Participant_Metrics'!$CK$6:$CK$35))),"")</f>
        <v/>
      </c>
      <c r="M14" s="64">
        <f>IFERROR(COUNT(FILTER('Participant_Metrics'!$CK$6:$CK$35,('Participant_Metrics'!$BX$6:$BX$35=1)*('Participant_Metrics'!$B$6:$B$35="Twice Daily")*ISNUMBER('Participant_Metrics'!$CK$6:$CK$35))),0)</f>
        <v/>
      </c>
      <c r="N14" s="64">
        <f>IFERROR(AVERAGE(FILTER('Participant_Metrics'!$CK$6:$CK$35,('Participant_Metrics'!$BX$6:$BX$35=1)*('Participant_Metrics'!$B$6:$B$35="Twice Daily")*ISNUMBER('Participant_Metrics'!$CK$6:$CK$35))),"")</f>
        <v/>
      </c>
      <c r="O14" s="64">
        <f>IFERROR(N14-L14,"")</f>
        <v/>
      </c>
      <c r="P14" s="36">
        <f>IFERROR(T.TEST(FILTER('Participant_Metrics'!$CK$6:$CK$35,('Participant_Metrics'!$BX$6:$BX$35=1)*('Participant_Metrics'!$B$6:$B$35="Once Daily")*ISNUMBER('Participant_Metrics'!$CK$6:$CK$35)),FILTER('Participant_Metrics'!$CK$6:$CK$35,('Participant_Metrics'!$BX$6:$BX$35=1)*('Participant_Metrics'!$B$6:$B$35="Twice Daily")*ISNUMBER('Participant_Metrics'!$CK$6:$CK$35)),2,3),"")</f>
        <v/>
      </c>
    </row>
    <row r="15">
      <c r="A15" s="15" t="inlineStr">
        <is>
          <t>Composite Efficacy Score</t>
        </is>
      </c>
      <c r="B15" s="15" t="inlineStr">
        <is>
          <t>0-100</t>
        </is>
      </c>
      <c r="C15" s="15" t="inlineStr">
        <is>
          <t>Weighted participant-level investor score</t>
        </is>
      </c>
      <c r="D15" s="64">
        <f>IFERROR(COUNT(FILTER('Participant_Metrics'!$CN$6:$CN$35,('Participant_Metrics'!$BX$6:$BX$35=1)*ISNUMBER('Participant_Metrics'!$CN$6:$CN$35))),0)</f>
        <v/>
      </c>
      <c r="E15" s="64">
        <f>IFERROR(AVERAGE(FILTER('Participant_Metrics'!$CN$6:$CN$35,('Participant_Metrics'!$BX$6:$BX$35=1)*ISNUMBER('Participant_Metrics'!$CN$6:$CN$35))),"")</f>
        <v/>
      </c>
      <c r="F15" s="64">
        <f>IFERROR(STDEV.S(FILTER('Participant_Metrics'!$CN$6:$CN$35,('Participant_Metrics'!$BX$6:$BX$35=1)*ISNUMBER('Participant_Metrics'!$CN$6:$CN$35))),"")</f>
        <v/>
      </c>
      <c r="G15" s="64">
        <f>IF(D15&gt;1,F15/SQRT(D15),"")</f>
        <v/>
      </c>
      <c r="H15" s="64">
        <f>IF(D15&gt;1,E15-T.INV.2T(0.05,D15-1)*G15,"")</f>
        <v/>
      </c>
      <c r="I15" s="64">
        <f>IF(D15&gt;1,E15+T.INV.2T(0.05,D15-1)*G15,"")</f>
        <v/>
      </c>
      <c r="J15" s="36">
        <f>IF(D15&gt;1,T.DIST.2T(ABS(E15/G15),D15-1),"")</f>
        <v/>
      </c>
      <c r="K15" s="64">
        <f>IFERROR(COUNT(FILTER('Participant_Metrics'!$CN$6:$CN$35,('Participant_Metrics'!$BX$6:$BX$35=1)*('Participant_Metrics'!$B$6:$B$35="Once Daily")*ISNUMBER('Participant_Metrics'!$CN$6:$CN$35))),0)</f>
        <v/>
      </c>
      <c r="L15" s="64">
        <f>IFERROR(AVERAGE(FILTER('Participant_Metrics'!$CN$6:$CN$35,('Participant_Metrics'!$BX$6:$BX$35=1)*('Participant_Metrics'!$B$6:$B$35="Once Daily")*ISNUMBER('Participant_Metrics'!$CN$6:$CN$35))),"")</f>
        <v/>
      </c>
      <c r="M15" s="64">
        <f>IFERROR(COUNT(FILTER('Participant_Metrics'!$CN$6:$CN$35,('Participant_Metrics'!$BX$6:$BX$35=1)*('Participant_Metrics'!$B$6:$B$35="Twice Daily")*ISNUMBER('Participant_Metrics'!$CN$6:$CN$35))),0)</f>
        <v/>
      </c>
      <c r="N15" s="64">
        <f>IFERROR(AVERAGE(FILTER('Participant_Metrics'!$CN$6:$CN$35,('Participant_Metrics'!$BX$6:$BX$35=1)*('Participant_Metrics'!$B$6:$B$35="Twice Daily")*ISNUMBER('Participant_Metrics'!$CN$6:$CN$35))),"")</f>
        <v/>
      </c>
      <c r="O15" s="64">
        <f>IFERROR(N15-L15,"")</f>
        <v/>
      </c>
      <c r="P15" s="36">
        <f>IFERROR(T.TEST(FILTER('Participant_Metrics'!$CN$6:$CN$35,('Participant_Metrics'!$BX$6:$BX$35=1)*('Participant_Metrics'!$B$6:$B$35="Once Daily")*ISNUMBER('Participant_Metrics'!$CN$6:$CN$35)),FILTER('Participant_Metrics'!$CN$6:$CN$35,('Participant_Metrics'!$BX$6:$BX$35=1)*('Participant_Metrics'!$B$6:$B$35="Twice Daily")*ISNUMBER('Participant_Metrics'!$CN$6:$CN$35)),2,3),"")</f>
        <v/>
      </c>
    </row>
    <row r="16">
      <c r="A16" s="66" t="inlineStr">
        <is>
          <t>Weight Change (lb)</t>
        </is>
      </c>
      <c r="B16" s="66" t="inlineStr">
        <is>
          <t>lb</t>
        </is>
      </c>
      <c r="C16" s="66" t="inlineStr">
        <is>
          <t>Secondary: self-reported weight lost Off-&gt;On</t>
        </is>
      </c>
      <c r="D16" s="67">
        <f>IFERROR(COUNT(FILTER('Participant_Metrics'!$CR$6:$CR$35,('Participant_Metrics'!$BX$6:$BX$35=1)*ISNUMBER('Participant_Metrics'!$CR$6:$CR$35))),0)</f>
        <v/>
      </c>
      <c r="E16" s="67">
        <f>IFERROR(AVERAGE(FILTER('Participant_Metrics'!$CR$6:$CR$35,('Participant_Metrics'!$BX$6:$BX$35=1)*ISNUMBER('Participant_Metrics'!$CR$6:$CR$35))),"")</f>
        <v/>
      </c>
      <c r="F16" s="67">
        <f>IFERROR(STDEV.S(FILTER('Participant_Metrics'!$CR$6:$CR$35,('Participant_Metrics'!$BX$6:$BX$35=1)*ISNUMBER('Participant_Metrics'!$CR$6:$CR$35))),"")</f>
        <v/>
      </c>
      <c r="G16" s="67">
        <f>IF(D16&gt;1,F16/SQRT(D16),"")</f>
        <v/>
      </c>
      <c r="H16" s="67">
        <f>IF(D16&gt;1,E16-T.INV.2T(0.05,D16-1)*G16,"")</f>
        <v/>
      </c>
      <c r="I16" s="67">
        <f>IF(D16&gt;1,E16+T.INV.2T(0.05,D16-1)*G16,"")</f>
        <v/>
      </c>
      <c r="J16" s="68">
        <f>IF(D16&gt;1,T.DIST.2T(ABS(E16/G16),D16-1),"")</f>
        <v/>
      </c>
      <c r="K16" s="67">
        <f>IFERROR(COUNT(FILTER('Participant_Metrics'!$CR$6:$CR$35,('Participant_Metrics'!$BX$6:$BX$35=1)*('Participant_Metrics'!$B$6:$B$35="Once Daily")*ISNUMBER('Participant_Metrics'!$CR$6:$CR$35))),0)</f>
        <v/>
      </c>
      <c r="L16" s="67">
        <f>IFERROR(AVERAGE(FILTER('Participant_Metrics'!$CR$6:$CR$35,('Participant_Metrics'!$BX$6:$BX$35=1)*('Participant_Metrics'!$B$6:$B$35="Once Daily")*ISNUMBER('Participant_Metrics'!$CR$6:$CR$35))),"")</f>
        <v/>
      </c>
      <c r="M16" s="67">
        <f>IFERROR(COUNT(FILTER('Participant_Metrics'!$CR$6:$CR$35,('Participant_Metrics'!$BX$6:$BX$35=1)*('Participant_Metrics'!$B$6:$B$35="Twice Daily")*ISNUMBER('Participant_Metrics'!$CR$6:$CR$35))),0)</f>
        <v/>
      </c>
      <c r="N16" s="67">
        <f>IFERROR(AVERAGE(FILTER('Participant_Metrics'!$CR$6:$CR$35,('Participant_Metrics'!$BX$6:$BX$35=1)*('Participant_Metrics'!$B$6:$B$35="Twice Daily")*ISNUMBER('Participant_Metrics'!$CR$6:$CR$35))),"")</f>
        <v/>
      </c>
      <c r="O16" s="67">
        <f>IFERROR(N16-L16,"")</f>
        <v/>
      </c>
      <c r="P16" s="68">
        <f>IFERROR(T.TEST(FILTER('Participant_Metrics'!$CR$6:$CR$35,('Participant_Metrics'!$BX$6:$BX$35=1)*('Participant_Metrics'!$B$6:$B$35="Once Daily")*ISNUMBER('Participant_Metrics'!$CR$6:$CR$35)),FILTER('Participant_Metrics'!$CR$6:$CR$35,('Participant_Metrics'!$BX$6:$BX$35=1)*('Participant_Metrics'!$B$6:$B$35="Twice Daily")*ISNUMBER('Participant_Metrics'!$CR$6:$CR$35)),2,3),"")</f>
        <v/>
      </c>
    </row>
    <row r="17">
      <c r="A17" s="66" t="inlineStr">
        <is>
          <t>Weight Change %</t>
        </is>
      </c>
      <c r="B17" s="66" t="inlineStr">
        <is>
          <t>%</t>
        </is>
      </c>
      <c r="C17" s="66" t="inlineStr">
        <is>
          <t>Secondary: percent weight change Off-&gt;On</t>
        </is>
      </c>
      <c r="D17" s="67">
        <f>IFERROR(COUNT(FILTER('Participant_Metrics'!$CS$6:$CS$35,('Participant_Metrics'!$BX$6:$BX$35=1)*ISNUMBER('Participant_Metrics'!$CS$6:$CS$35))),0)</f>
        <v/>
      </c>
      <c r="E17" s="67">
        <f>IFERROR(AVERAGE(FILTER('Participant_Metrics'!$CS$6:$CS$35,('Participant_Metrics'!$BX$6:$BX$35=1)*ISNUMBER('Participant_Metrics'!$CS$6:$CS$35))),"")</f>
        <v/>
      </c>
      <c r="F17" s="67">
        <f>IFERROR(STDEV.S(FILTER('Participant_Metrics'!$CS$6:$CS$35,('Participant_Metrics'!$BX$6:$BX$35=1)*ISNUMBER('Participant_Metrics'!$CS$6:$CS$35))),"")</f>
        <v/>
      </c>
      <c r="G17" s="67">
        <f>IF(D17&gt;1,F17/SQRT(D17),"")</f>
        <v/>
      </c>
      <c r="H17" s="67">
        <f>IF(D17&gt;1,E17-T.INV.2T(0.05,D17-1)*G17,"")</f>
        <v/>
      </c>
      <c r="I17" s="67">
        <f>IF(D17&gt;1,E17+T.INV.2T(0.05,D17-1)*G17,"")</f>
        <v/>
      </c>
      <c r="J17" s="68">
        <f>IF(D17&gt;1,T.DIST.2T(ABS(E17/G17),D17-1),"")</f>
        <v/>
      </c>
      <c r="K17" s="67">
        <f>IFERROR(COUNT(FILTER('Participant_Metrics'!$CS$6:$CS$35,('Participant_Metrics'!$BX$6:$BX$35=1)*('Participant_Metrics'!$B$6:$B$35="Once Daily")*ISNUMBER('Participant_Metrics'!$CS$6:$CS$35))),0)</f>
        <v/>
      </c>
      <c r="L17" s="67">
        <f>IFERROR(AVERAGE(FILTER('Participant_Metrics'!$CS$6:$CS$35,('Participant_Metrics'!$BX$6:$BX$35=1)*('Participant_Metrics'!$B$6:$B$35="Once Daily")*ISNUMBER('Participant_Metrics'!$CS$6:$CS$35))),"")</f>
        <v/>
      </c>
      <c r="M17" s="67">
        <f>IFERROR(COUNT(FILTER('Participant_Metrics'!$CS$6:$CS$35,('Participant_Metrics'!$BX$6:$BX$35=1)*('Participant_Metrics'!$B$6:$B$35="Twice Daily")*ISNUMBER('Participant_Metrics'!$CS$6:$CS$35))),0)</f>
        <v/>
      </c>
      <c r="N17" s="67">
        <f>IFERROR(AVERAGE(FILTER('Participant_Metrics'!$CS$6:$CS$35,('Participant_Metrics'!$BX$6:$BX$35=1)*('Participant_Metrics'!$B$6:$B$35="Twice Daily")*ISNUMBER('Participant_Metrics'!$CS$6:$CS$35))),"")</f>
        <v/>
      </c>
      <c r="O17" s="67">
        <f>IFERROR(N17-L17,"")</f>
        <v/>
      </c>
      <c r="P17" s="68">
        <f>IFERROR(T.TEST(FILTER('Participant_Metrics'!$CS$6:$CS$35,('Participant_Metrics'!$BX$6:$BX$35=1)*('Participant_Metrics'!$B$6:$B$35="Once Daily")*ISNUMBER('Participant_Metrics'!$CS$6:$CS$35)),FILTER('Participant_Metrics'!$CS$6:$CS$35,('Participant_Metrics'!$BX$6:$BX$35=1)*('Participant_Metrics'!$B$6:$B$35="Twice Daily")*ISNUMBER('Participant_Metrics'!$CS$6:$CS$35)),2,3),"")</f>
        <v/>
      </c>
    </row>
    <row r="18">
      <c r="A18" s="66" t="inlineStr">
        <is>
          <t>Avg Taste (1-5)</t>
        </is>
      </c>
      <c r="B18" s="66" t="inlineStr">
        <is>
          <t>score</t>
        </is>
      </c>
      <c r="C18" s="66" t="inlineStr">
        <is>
          <t>Tolerability: mean palatability (5=best)</t>
        </is>
      </c>
      <c r="D18" s="67">
        <f>IFERROR(COUNT(FILTER('Participant_Metrics'!$CW$6:$CW$35,('Participant_Metrics'!$BX$6:$BX$35=1)*ISNUMBER('Participant_Metrics'!$CW$6:$CW$35))),0)</f>
        <v/>
      </c>
      <c r="E18" s="67">
        <f>IFERROR(AVERAGE(FILTER('Participant_Metrics'!$CW$6:$CW$35,('Participant_Metrics'!$BX$6:$BX$35=1)*ISNUMBER('Participant_Metrics'!$CW$6:$CW$35))),"")</f>
        <v/>
      </c>
      <c r="F18" s="67">
        <f>IFERROR(STDEV.S(FILTER('Participant_Metrics'!$CW$6:$CW$35,('Participant_Metrics'!$BX$6:$BX$35=1)*ISNUMBER('Participant_Metrics'!$CW$6:$CW$35))),"")</f>
        <v/>
      </c>
      <c r="G18" s="67">
        <f>IF(D18&gt;1,F18/SQRT(D18),"")</f>
        <v/>
      </c>
      <c r="H18" s="67">
        <f>IF(D18&gt;1,E18-T.INV.2T(0.05,D18-1)*G18,"")</f>
        <v/>
      </c>
      <c r="I18" s="67">
        <f>IF(D18&gt;1,E18+T.INV.2T(0.05,D18-1)*G18,"")</f>
        <v/>
      </c>
      <c r="J18" s="68">
        <f>IF(D18&gt;1,T.DIST.2T(ABS(E18/G18),D18-1),"")</f>
        <v/>
      </c>
      <c r="K18" s="67">
        <f>IFERROR(COUNT(FILTER('Participant_Metrics'!$CW$6:$CW$35,('Participant_Metrics'!$BX$6:$BX$35=1)*('Participant_Metrics'!$B$6:$B$35="Once Daily")*ISNUMBER('Participant_Metrics'!$CW$6:$CW$35))),0)</f>
        <v/>
      </c>
      <c r="L18" s="67">
        <f>IFERROR(AVERAGE(FILTER('Participant_Metrics'!$CW$6:$CW$35,('Participant_Metrics'!$BX$6:$BX$35=1)*('Participant_Metrics'!$B$6:$B$35="Once Daily")*ISNUMBER('Participant_Metrics'!$CW$6:$CW$35))),"")</f>
        <v/>
      </c>
      <c r="M18" s="67">
        <f>IFERROR(COUNT(FILTER('Participant_Metrics'!$CW$6:$CW$35,('Participant_Metrics'!$BX$6:$BX$35=1)*('Participant_Metrics'!$B$6:$B$35="Twice Daily")*ISNUMBER('Participant_Metrics'!$CW$6:$CW$35))),0)</f>
        <v/>
      </c>
      <c r="N18" s="67">
        <f>IFERROR(AVERAGE(FILTER('Participant_Metrics'!$CW$6:$CW$35,('Participant_Metrics'!$BX$6:$BX$35=1)*('Participant_Metrics'!$B$6:$B$35="Twice Daily")*ISNUMBER('Participant_Metrics'!$CW$6:$CW$35))),"")</f>
        <v/>
      </c>
      <c r="O18" s="67">
        <f>IFERROR(N18-L18,"")</f>
        <v/>
      </c>
      <c r="P18" s="68">
        <f>IFERROR(T.TEST(FILTER('Participant_Metrics'!$CW$6:$CW$35,('Participant_Metrics'!$BX$6:$BX$35=1)*('Participant_Metrics'!$B$6:$B$35="Once Daily")*ISNUMBER('Participant_Metrics'!$CW$6:$CW$35)),FILTER('Participant_Metrics'!$CW$6:$CW$35,('Participant_Metrics'!$BX$6:$BX$35=1)*('Participant_Metrics'!$B$6:$B$35="Twice Daily")*ISNUMBER('Participant_Metrics'!$CW$6:$CW$35)),2,3),"")</f>
        <v/>
      </c>
    </row>
    <row r="19">
      <c r="A19" s="66" t="inlineStr">
        <is>
          <t>Avg Aftertaste (1-5)</t>
        </is>
      </c>
      <c r="B19" s="66" t="inlineStr">
        <is>
          <t>score</t>
        </is>
      </c>
      <c r="C19" s="66" t="inlineStr">
        <is>
          <t>Tolerability: mean aftertaste (5=best)</t>
        </is>
      </c>
      <c r="D19" s="67">
        <f>IFERROR(COUNT(FILTER('Participant_Metrics'!$CX$6:$CX$35,('Participant_Metrics'!$BX$6:$BX$35=1)*ISNUMBER('Participant_Metrics'!$CX$6:$CX$35))),0)</f>
        <v/>
      </c>
      <c r="E19" s="67">
        <f>IFERROR(AVERAGE(FILTER('Participant_Metrics'!$CX$6:$CX$35,('Participant_Metrics'!$BX$6:$BX$35=1)*ISNUMBER('Participant_Metrics'!$CX$6:$CX$35))),"")</f>
        <v/>
      </c>
      <c r="F19" s="67">
        <f>IFERROR(STDEV.S(FILTER('Participant_Metrics'!$CX$6:$CX$35,('Participant_Metrics'!$BX$6:$BX$35=1)*ISNUMBER('Participant_Metrics'!$CX$6:$CX$35))),"")</f>
        <v/>
      </c>
      <c r="G19" s="67">
        <f>IF(D19&gt;1,F19/SQRT(D19),"")</f>
        <v/>
      </c>
      <c r="H19" s="67">
        <f>IF(D19&gt;1,E19-T.INV.2T(0.05,D19-1)*G19,"")</f>
        <v/>
      </c>
      <c r="I19" s="67">
        <f>IF(D19&gt;1,E19+T.INV.2T(0.05,D19-1)*G19,"")</f>
        <v/>
      </c>
      <c r="J19" s="68">
        <f>IF(D19&gt;1,T.DIST.2T(ABS(E19/G19),D19-1),"")</f>
        <v/>
      </c>
      <c r="K19" s="67">
        <f>IFERROR(COUNT(FILTER('Participant_Metrics'!$CX$6:$CX$35,('Participant_Metrics'!$BX$6:$BX$35=1)*('Participant_Metrics'!$B$6:$B$35="Once Daily")*ISNUMBER('Participant_Metrics'!$CX$6:$CX$35))),0)</f>
        <v/>
      </c>
      <c r="L19" s="67">
        <f>IFERROR(AVERAGE(FILTER('Participant_Metrics'!$CX$6:$CX$35,('Participant_Metrics'!$BX$6:$BX$35=1)*('Participant_Metrics'!$B$6:$B$35="Once Daily")*ISNUMBER('Participant_Metrics'!$CX$6:$CX$35))),"")</f>
        <v/>
      </c>
      <c r="M19" s="67">
        <f>IFERROR(COUNT(FILTER('Participant_Metrics'!$CX$6:$CX$35,('Participant_Metrics'!$BX$6:$BX$35=1)*('Participant_Metrics'!$B$6:$B$35="Twice Daily")*ISNUMBER('Participant_Metrics'!$CX$6:$CX$35))),0)</f>
        <v/>
      </c>
      <c r="N19" s="67">
        <f>IFERROR(AVERAGE(FILTER('Participant_Metrics'!$CX$6:$CX$35,('Participant_Metrics'!$BX$6:$BX$35=1)*('Participant_Metrics'!$B$6:$B$35="Twice Daily")*ISNUMBER('Participant_Metrics'!$CX$6:$CX$35))),"")</f>
        <v/>
      </c>
      <c r="O19" s="67">
        <f>IFERROR(N19-L19,"")</f>
        <v/>
      </c>
      <c r="P19" s="68">
        <f>IFERROR(T.TEST(FILTER('Participant_Metrics'!$CX$6:$CX$35,('Participant_Metrics'!$BX$6:$BX$35=1)*('Participant_Metrics'!$B$6:$B$35="Once Daily")*ISNUMBER('Participant_Metrics'!$CX$6:$CX$35)),FILTER('Participant_Metrics'!$CX$6:$CX$35,('Participant_Metrics'!$BX$6:$BX$35=1)*('Participant_Metrics'!$B$6:$B$35="Twice Daily")*ISNUMBER('Participant_Metrics'!$CX$6:$CX$35)),2,3),"")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40" customWidth="1" min="4" max="4"/>
    <col width="14" customWidth="1" min="5" max="5"/>
    <col width="18" customWidth="1" min="6" max="6"/>
    <col width="14" customWidth="1" min="7" max="7"/>
    <col width="12" customWidth="1" min="8" max="8"/>
  </cols>
  <sheetData>
    <row r="1" ht="30" customHeight="1">
      <c r="A1" s="1" t="inlineStr">
        <is>
          <t>Safety and Data Quality Review</t>
        </is>
      </c>
      <c r="B1" s="3" t="n"/>
      <c r="C1" s="3" t="n"/>
      <c r="D1" s="3" t="n"/>
      <c r="E1" s="3" t="n"/>
      <c r="F1" s="3" t="n"/>
      <c r="G1" s="4" t="n"/>
    </row>
    <row r="5">
      <c r="A5" s="22" t="inlineStr">
        <is>
          <t>Participant ID</t>
        </is>
      </c>
      <c r="B5" s="22" t="inlineStr">
        <is>
          <t>Arm</t>
        </is>
      </c>
      <c r="C5" s="22" t="inlineStr">
        <is>
          <t>Include</t>
        </is>
      </c>
      <c r="D5" s="22" t="inlineStr">
        <is>
          <t>QC Notes</t>
        </is>
      </c>
      <c r="E5" s="22" t="inlineStr">
        <is>
          <t>TBR L2 Delta</t>
        </is>
      </c>
      <c r="F5" s="22" t="inlineStr">
        <is>
          <t>Daily Hypo AUC Delta</t>
        </is>
      </c>
      <c r="G5" s="22" t="inlineStr">
        <is>
          <t>No Hypo Harm</t>
        </is>
      </c>
      <c r="H5" s="22" t="inlineStr">
        <is>
          <t>Responder</t>
        </is>
      </c>
    </row>
    <row r="6">
      <c r="A6" s="23">
        <f>'Participant_Metrics'!A6</f>
        <v/>
      </c>
      <c r="B6" s="23">
        <f>'Participant_Metrics'!B6</f>
        <v/>
      </c>
      <c r="C6" s="23">
        <f>'Participant_Metrics'!BX6</f>
        <v/>
      </c>
      <c r="D6" s="15">
        <f>'Participant_Metrics'!BY6</f>
        <v/>
      </c>
      <c r="E6" s="23">
        <f>'Participant_Metrics'!X6</f>
        <v/>
      </c>
      <c r="F6" s="23">
        <f>'Participant_Metrics'!AM6</f>
        <v/>
      </c>
      <c r="G6" s="23">
        <f>'Participant_Metrics'!CL6</f>
        <v/>
      </c>
      <c r="H6" s="23">
        <f>'Participant_Metrics'!CM6</f>
        <v/>
      </c>
    </row>
    <row r="7">
      <c r="A7" s="23">
        <f>'Participant_Metrics'!A7</f>
        <v/>
      </c>
      <c r="B7" s="23">
        <f>'Participant_Metrics'!B7</f>
        <v/>
      </c>
      <c r="C7" s="23">
        <f>'Participant_Metrics'!BX7</f>
        <v/>
      </c>
      <c r="D7" s="15">
        <f>'Participant_Metrics'!BY7</f>
        <v/>
      </c>
      <c r="E7" s="23">
        <f>'Participant_Metrics'!X7</f>
        <v/>
      </c>
      <c r="F7" s="23">
        <f>'Participant_Metrics'!AM7</f>
        <v/>
      </c>
      <c r="G7" s="23">
        <f>'Participant_Metrics'!CL7</f>
        <v/>
      </c>
      <c r="H7" s="23">
        <f>'Participant_Metrics'!CM7</f>
        <v/>
      </c>
    </row>
    <row r="8">
      <c r="A8" s="23">
        <f>'Participant_Metrics'!A8</f>
        <v/>
      </c>
      <c r="B8" s="23">
        <f>'Participant_Metrics'!B8</f>
        <v/>
      </c>
      <c r="C8" s="23">
        <f>'Participant_Metrics'!BX8</f>
        <v/>
      </c>
      <c r="D8" s="15">
        <f>'Participant_Metrics'!BY8</f>
        <v/>
      </c>
      <c r="E8" s="23">
        <f>'Participant_Metrics'!X8</f>
        <v/>
      </c>
      <c r="F8" s="23">
        <f>'Participant_Metrics'!AM8</f>
        <v/>
      </c>
      <c r="G8" s="23">
        <f>'Participant_Metrics'!CL8</f>
        <v/>
      </c>
      <c r="H8" s="23">
        <f>'Participant_Metrics'!CM8</f>
        <v/>
      </c>
    </row>
    <row r="9">
      <c r="A9" s="23">
        <f>'Participant_Metrics'!A9</f>
        <v/>
      </c>
      <c r="B9" s="23">
        <f>'Participant_Metrics'!B9</f>
        <v/>
      </c>
      <c r="C9" s="23">
        <f>'Participant_Metrics'!BX9</f>
        <v/>
      </c>
      <c r="D9" s="15">
        <f>'Participant_Metrics'!BY9</f>
        <v/>
      </c>
      <c r="E9" s="23">
        <f>'Participant_Metrics'!X9</f>
        <v/>
      </c>
      <c r="F9" s="23">
        <f>'Participant_Metrics'!AM9</f>
        <v/>
      </c>
      <c r="G9" s="23">
        <f>'Participant_Metrics'!CL9</f>
        <v/>
      </c>
      <c r="H9" s="23">
        <f>'Participant_Metrics'!CM9</f>
        <v/>
      </c>
    </row>
    <row r="10">
      <c r="A10" s="23">
        <f>'Participant_Metrics'!A10</f>
        <v/>
      </c>
      <c r="B10" s="23">
        <f>'Participant_Metrics'!B10</f>
        <v/>
      </c>
      <c r="C10" s="23">
        <f>'Participant_Metrics'!BX10</f>
        <v/>
      </c>
      <c r="D10" s="15">
        <f>'Participant_Metrics'!BY10</f>
        <v/>
      </c>
      <c r="E10" s="23">
        <f>'Participant_Metrics'!X10</f>
        <v/>
      </c>
      <c r="F10" s="23">
        <f>'Participant_Metrics'!AM10</f>
        <v/>
      </c>
      <c r="G10" s="23">
        <f>'Participant_Metrics'!CL10</f>
        <v/>
      </c>
      <c r="H10" s="23">
        <f>'Participant_Metrics'!CM10</f>
        <v/>
      </c>
    </row>
    <row r="11">
      <c r="A11" s="23">
        <f>'Participant_Metrics'!A11</f>
        <v/>
      </c>
      <c r="B11" s="23">
        <f>'Participant_Metrics'!B11</f>
        <v/>
      </c>
      <c r="C11" s="23">
        <f>'Participant_Metrics'!BX11</f>
        <v/>
      </c>
      <c r="D11" s="15">
        <f>'Participant_Metrics'!BY11</f>
        <v/>
      </c>
      <c r="E11" s="23">
        <f>'Participant_Metrics'!X11</f>
        <v/>
      </c>
      <c r="F11" s="23">
        <f>'Participant_Metrics'!AM11</f>
        <v/>
      </c>
      <c r="G11" s="23">
        <f>'Participant_Metrics'!CL11</f>
        <v/>
      </c>
      <c r="H11" s="23">
        <f>'Participant_Metrics'!CM11</f>
        <v/>
      </c>
    </row>
    <row r="12">
      <c r="A12" s="23">
        <f>'Participant_Metrics'!A12</f>
        <v/>
      </c>
      <c r="B12" s="23">
        <f>'Participant_Metrics'!B12</f>
        <v/>
      </c>
      <c r="C12" s="23">
        <f>'Participant_Metrics'!BX12</f>
        <v/>
      </c>
      <c r="D12" s="15">
        <f>'Participant_Metrics'!BY12</f>
        <v/>
      </c>
      <c r="E12" s="23">
        <f>'Participant_Metrics'!X12</f>
        <v/>
      </c>
      <c r="F12" s="23">
        <f>'Participant_Metrics'!AM12</f>
        <v/>
      </c>
      <c r="G12" s="23">
        <f>'Participant_Metrics'!CL12</f>
        <v/>
      </c>
      <c r="H12" s="23">
        <f>'Participant_Metrics'!CM12</f>
        <v/>
      </c>
    </row>
    <row r="13">
      <c r="A13" s="23">
        <f>'Participant_Metrics'!A13</f>
        <v/>
      </c>
      <c r="B13" s="23">
        <f>'Participant_Metrics'!B13</f>
        <v/>
      </c>
      <c r="C13" s="23">
        <f>'Participant_Metrics'!BX13</f>
        <v/>
      </c>
      <c r="D13" s="15">
        <f>'Participant_Metrics'!BY13</f>
        <v/>
      </c>
      <c r="E13" s="23">
        <f>'Participant_Metrics'!X13</f>
        <v/>
      </c>
      <c r="F13" s="23">
        <f>'Participant_Metrics'!AM13</f>
        <v/>
      </c>
      <c r="G13" s="23">
        <f>'Participant_Metrics'!CL13</f>
        <v/>
      </c>
      <c r="H13" s="23">
        <f>'Participant_Metrics'!CM13</f>
        <v/>
      </c>
    </row>
    <row r="14">
      <c r="A14" s="23">
        <f>'Participant_Metrics'!A14</f>
        <v/>
      </c>
      <c r="B14" s="23">
        <f>'Participant_Metrics'!B14</f>
        <v/>
      </c>
      <c r="C14" s="23">
        <f>'Participant_Metrics'!BX14</f>
        <v/>
      </c>
      <c r="D14" s="15">
        <f>'Participant_Metrics'!BY14</f>
        <v/>
      </c>
      <c r="E14" s="23">
        <f>'Participant_Metrics'!X14</f>
        <v/>
      </c>
      <c r="F14" s="23">
        <f>'Participant_Metrics'!AM14</f>
        <v/>
      </c>
      <c r="G14" s="23">
        <f>'Participant_Metrics'!CL14</f>
        <v/>
      </c>
      <c r="H14" s="23">
        <f>'Participant_Metrics'!CM14</f>
        <v/>
      </c>
    </row>
    <row r="15">
      <c r="A15" s="23">
        <f>'Participant_Metrics'!A15</f>
        <v/>
      </c>
      <c r="B15" s="23">
        <f>'Participant_Metrics'!B15</f>
        <v/>
      </c>
      <c r="C15" s="23">
        <f>'Participant_Metrics'!BX15</f>
        <v/>
      </c>
      <c r="D15" s="15">
        <f>'Participant_Metrics'!BY15</f>
        <v/>
      </c>
      <c r="E15" s="23">
        <f>'Participant_Metrics'!X15</f>
        <v/>
      </c>
      <c r="F15" s="23">
        <f>'Participant_Metrics'!AM15</f>
        <v/>
      </c>
      <c r="G15" s="23">
        <f>'Participant_Metrics'!CL15</f>
        <v/>
      </c>
      <c r="H15" s="23">
        <f>'Participant_Metrics'!CM15</f>
        <v/>
      </c>
    </row>
    <row r="16">
      <c r="A16" s="23">
        <f>'Participant_Metrics'!A16</f>
        <v/>
      </c>
      <c r="B16" s="23">
        <f>'Participant_Metrics'!B16</f>
        <v/>
      </c>
      <c r="C16" s="23">
        <f>'Participant_Metrics'!BX16</f>
        <v/>
      </c>
      <c r="D16" s="15">
        <f>'Participant_Metrics'!BY16</f>
        <v/>
      </c>
      <c r="E16" s="23">
        <f>'Participant_Metrics'!X16</f>
        <v/>
      </c>
      <c r="F16" s="23">
        <f>'Participant_Metrics'!AM16</f>
        <v/>
      </c>
      <c r="G16" s="23">
        <f>'Participant_Metrics'!CL16</f>
        <v/>
      </c>
      <c r="H16" s="23">
        <f>'Participant_Metrics'!CM16</f>
        <v/>
      </c>
    </row>
    <row r="17">
      <c r="A17" s="23">
        <f>'Participant_Metrics'!A17</f>
        <v/>
      </c>
      <c r="B17" s="23">
        <f>'Participant_Metrics'!B17</f>
        <v/>
      </c>
      <c r="C17" s="23">
        <f>'Participant_Metrics'!BX17</f>
        <v/>
      </c>
      <c r="D17" s="15">
        <f>'Participant_Metrics'!BY17</f>
        <v/>
      </c>
      <c r="E17" s="23">
        <f>'Participant_Metrics'!X17</f>
        <v/>
      </c>
      <c r="F17" s="23">
        <f>'Participant_Metrics'!AM17</f>
        <v/>
      </c>
      <c r="G17" s="23">
        <f>'Participant_Metrics'!CL17</f>
        <v/>
      </c>
      <c r="H17" s="23">
        <f>'Participant_Metrics'!CM17</f>
        <v/>
      </c>
    </row>
    <row r="18">
      <c r="A18" s="23">
        <f>'Participant_Metrics'!A18</f>
        <v/>
      </c>
      <c r="B18" s="23">
        <f>'Participant_Metrics'!B18</f>
        <v/>
      </c>
      <c r="C18" s="23">
        <f>'Participant_Metrics'!BX18</f>
        <v/>
      </c>
      <c r="D18" s="15">
        <f>'Participant_Metrics'!BY18</f>
        <v/>
      </c>
      <c r="E18" s="23">
        <f>'Participant_Metrics'!X18</f>
        <v/>
      </c>
      <c r="F18" s="23">
        <f>'Participant_Metrics'!AM18</f>
        <v/>
      </c>
      <c r="G18" s="23">
        <f>'Participant_Metrics'!CL18</f>
        <v/>
      </c>
      <c r="H18" s="23">
        <f>'Participant_Metrics'!CM18</f>
        <v/>
      </c>
    </row>
    <row r="19">
      <c r="A19" s="23">
        <f>'Participant_Metrics'!A19</f>
        <v/>
      </c>
      <c r="B19" s="23">
        <f>'Participant_Metrics'!B19</f>
        <v/>
      </c>
      <c r="C19" s="23">
        <f>'Participant_Metrics'!BX19</f>
        <v/>
      </c>
      <c r="D19" s="15">
        <f>'Participant_Metrics'!BY19</f>
        <v/>
      </c>
      <c r="E19" s="23">
        <f>'Participant_Metrics'!X19</f>
        <v/>
      </c>
      <c r="F19" s="23">
        <f>'Participant_Metrics'!AM19</f>
        <v/>
      </c>
      <c r="G19" s="23">
        <f>'Participant_Metrics'!CL19</f>
        <v/>
      </c>
      <c r="H19" s="23">
        <f>'Participant_Metrics'!CM19</f>
        <v/>
      </c>
    </row>
    <row r="20">
      <c r="A20" s="23">
        <f>'Participant_Metrics'!A20</f>
        <v/>
      </c>
      <c r="B20" s="23">
        <f>'Participant_Metrics'!B20</f>
        <v/>
      </c>
      <c r="C20" s="23">
        <f>'Participant_Metrics'!BX20</f>
        <v/>
      </c>
      <c r="D20" s="15">
        <f>'Participant_Metrics'!BY20</f>
        <v/>
      </c>
      <c r="E20" s="23">
        <f>'Participant_Metrics'!X20</f>
        <v/>
      </c>
      <c r="F20" s="23">
        <f>'Participant_Metrics'!AM20</f>
        <v/>
      </c>
      <c r="G20" s="23">
        <f>'Participant_Metrics'!CL20</f>
        <v/>
      </c>
      <c r="H20" s="23">
        <f>'Participant_Metrics'!CM20</f>
        <v/>
      </c>
    </row>
    <row r="21">
      <c r="A21" s="23">
        <f>'Participant_Metrics'!A21</f>
        <v/>
      </c>
      <c r="B21" s="23">
        <f>'Participant_Metrics'!B21</f>
        <v/>
      </c>
      <c r="C21" s="23">
        <f>'Participant_Metrics'!BX21</f>
        <v/>
      </c>
      <c r="D21" s="15">
        <f>'Participant_Metrics'!BY21</f>
        <v/>
      </c>
      <c r="E21" s="23">
        <f>'Participant_Metrics'!X21</f>
        <v/>
      </c>
      <c r="F21" s="23">
        <f>'Participant_Metrics'!AM21</f>
        <v/>
      </c>
      <c r="G21" s="23">
        <f>'Participant_Metrics'!CL21</f>
        <v/>
      </c>
      <c r="H21" s="23">
        <f>'Participant_Metrics'!CM21</f>
        <v/>
      </c>
    </row>
    <row r="22">
      <c r="A22" s="23">
        <f>'Participant_Metrics'!A22</f>
        <v/>
      </c>
      <c r="B22" s="23">
        <f>'Participant_Metrics'!B22</f>
        <v/>
      </c>
      <c r="C22" s="23">
        <f>'Participant_Metrics'!BX22</f>
        <v/>
      </c>
      <c r="D22" s="15">
        <f>'Participant_Metrics'!BY22</f>
        <v/>
      </c>
      <c r="E22" s="23">
        <f>'Participant_Metrics'!X22</f>
        <v/>
      </c>
      <c r="F22" s="23">
        <f>'Participant_Metrics'!AM22</f>
        <v/>
      </c>
      <c r="G22" s="23">
        <f>'Participant_Metrics'!CL22</f>
        <v/>
      </c>
      <c r="H22" s="23">
        <f>'Participant_Metrics'!CM22</f>
        <v/>
      </c>
    </row>
    <row r="23">
      <c r="A23" s="23">
        <f>'Participant_Metrics'!A23</f>
        <v/>
      </c>
      <c r="B23" s="23">
        <f>'Participant_Metrics'!B23</f>
        <v/>
      </c>
      <c r="C23" s="23">
        <f>'Participant_Metrics'!BX23</f>
        <v/>
      </c>
      <c r="D23" s="15">
        <f>'Participant_Metrics'!BY23</f>
        <v/>
      </c>
      <c r="E23" s="23">
        <f>'Participant_Metrics'!X23</f>
        <v/>
      </c>
      <c r="F23" s="23">
        <f>'Participant_Metrics'!AM23</f>
        <v/>
      </c>
      <c r="G23" s="23">
        <f>'Participant_Metrics'!CL23</f>
        <v/>
      </c>
      <c r="H23" s="23">
        <f>'Participant_Metrics'!CM23</f>
        <v/>
      </c>
    </row>
    <row r="24">
      <c r="A24" s="23">
        <f>'Participant_Metrics'!A24</f>
        <v/>
      </c>
      <c r="B24" s="23">
        <f>'Participant_Metrics'!B24</f>
        <v/>
      </c>
      <c r="C24" s="23">
        <f>'Participant_Metrics'!BX24</f>
        <v/>
      </c>
      <c r="D24" s="15">
        <f>'Participant_Metrics'!BY24</f>
        <v/>
      </c>
      <c r="E24" s="23">
        <f>'Participant_Metrics'!X24</f>
        <v/>
      </c>
      <c r="F24" s="23">
        <f>'Participant_Metrics'!AM24</f>
        <v/>
      </c>
      <c r="G24" s="23">
        <f>'Participant_Metrics'!CL24</f>
        <v/>
      </c>
      <c r="H24" s="23">
        <f>'Participant_Metrics'!CM24</f>
        <v/>
      </c>
    </row>
    <row r="25">
      <c r="A25" s="23">
        <f>'Participant_Metrics'!A25</f>
        <v/>
      </c>
      <c r="B25" s="23">
        <f>'Participant_Metrics'!B25</f>
        <v/>
      </c>
      <c r="C25" s="23">
        <f>'Participant_Metrics'!BX25</f>
        <v/>
      </c>
      <c r="D25" s="15">
        <f>'Participant_Metrics'!BY25</f>
        <v/>
      </c>
      <c r="E25" s="23">
        <f>'Participant_Metrics'!X25</f>
        <v/>
      </c>
      <c r="F25" s="23">
        <f>'Participant_Metrics'!AM25</f>
        <v/>
      </c>
      <c r="G25" s="23">
        <f>'Participant_Metrics'!CL25</f>
        <v/>
      </c>
      <c r="H25" s="23">
        <f>'Participant_Metrics'!CM25</f>
        <v/>
      </c>
    </row>
    <row r="26">
      <c r="A26" s="23">
        <f>'Participant_Metrics'!A26</f>
        <v/>
      </c>
      <c r="B26" s="23">
        <f>'Participant_Metrics'!B26</f>
        <v/>
      </c>
      <c r="C26" s="23">
        <f>'Participant_Metrics'!BX26</f>
        <v/>
      </c>
      <c r="D26" s="15">
        <f>'Participant_Metrics'!BY26</f>
        <v/>
      </c>
      <c r="E26" s="23">
        <f>'Participant_Metrics'!X26</f>
        <v/>
      </c>
      <c r="F26" s="23">
        <f>'Participant_Metrics'!AM26</f>
        <v/>
      </c>
      <c r="G26" s="23">
        <f>'Participant_Metrics'!CL26</f>
        <v/>
      </c>
      <c r="H26" s="23">
        <f>'Participant_Metrics'!CM26</f>
        <v/>
      </c>
    </row>
    <row r="27">
      <c r="A27" s="23">
        <f>'Participant_Metrics'!A27</f>
        <v/>
      </c>
      <c r="B27" s="23">
        <f>'Participant_Metrics'!B27</f>
        <v/>
      </c>
      <c r="C27" s="23">
        <f>'Participant_Metrics'!BX27</f>
        <v/>
      </c>
      <c r="D27" s="15">
        <f>'Participant_Metrics'!BY27</f>
        <v/>
      </c>
      <c r="E27" s="23">
        <f>'Participant_Metrics'!X27</f>
        <v/>
      </c>
      <c r="F27" s="23">
        <f>'Participant_Metrics'!AM27</f>
        <v/>
      </c>
      <c r="G27" s="23">
        <f>'Participant_Metrics'!CL27</f>
        <v/>
      </c>
      <c r="H27" s="23">
        <f>'Participant_Metrics'!CM27</f>
        <v/>
      </c>
    </row>
    <row r="28">
      <c r="A28" s="23">
        <f>'Participant_Metrics'!A28</f>
        <v/>
      </c>
      <c r="B28" s="23">
        <f>'Participant_Metrics'!B28</f>
        <v/>
      </c>
      <c r="C28" s="23">
        <f>'Participant_Metrics'!BX28</f>
        <v/>
      </c>
      <c r="D28" s="15">
        <f>'Participant_Metrics'!BY28</f>
        <v/>
      </c>
      <c r="E28" s="23">
        <f>'Participant_Metrics'!X28</f>
        <v/>
      </c>
      <c r="F28" s="23">
        <f>'Participant_Metrics'!AM28</f>
        <v/>
      </c>
      <c r="G28" s="23">
        <f>'Participant_Metrics'!CL28</f>
        <v/>
      </c>
      <c r="H28" s="23">
        <f>'Participant_Metrics'!CM28</f>
        <v/>
      </c>
    </row>
    <row r="29">
      <c r="A29" s="23">
        <f>'Participant_Metrics'!A29</f>
        <v/>
      </c>
      <c r="B29" s="23">
        <f>'Participant_Metrics'!B29</f>
        <v/>
      </c>
      <c r="C29" s="23">
        <f>'Participant_Metrics'!BX29</f>
        <v/>
      </c>
      <c r="D29" s="15">
        <f>'Participant_Metrics'!BY29</f>
        <v/>
      </c>
      <c r="E29" s="23">
        <f>'Participant_Metrics'!X29</f>
        <v/>
      </c>
      <c r="F29" s="23">
        <f>'Participant_Metrics'!AM29</f>
        <v/>
      </c>
      <c r="G29" s="23">
        <f>'Participant_Metrics'!CL29</f>
        <v/>
      </c>
      <c r="H29" s="23">
        <f>'Participant_Metrics'!CM29</f>
        <v/>
      </c>
    </row>
    <row r="30">
      <c r="A30" s="23">
        <f>'Participant_Metrics'!A30</f>
        <v/>
      </c>
      <c r="B30" s="23">
        <f>'Participant_Metrics'!B30</f>
        <v/>
      </c>
      <c r="C30" s="23">
        <f>'Participant_Metrics'!BX30</f>
        <v/>
      </c>
      <c r="D30" s="15">
        <f>'Participant_Metrics'!BY30</f>
        <v/>
      </c>
      <c r="E30" s="23">
        <f>'Participant_Metrics'!X30</f>
        <v/>
      </c>
      <c r="F30" s="23">
        <f>'Participant_Metrics'!AM30</f>
        <v/>
      </c>
      <c r="G30" s="23">
        <f>'Participant_Metrics'!CL30</f>
        <v/>
      </c>
      <c r="H30" s="23">
        <f>'Participant_Metrics'!CM30</f>
        <v/>
      </c>
    </row>
    <row r="31">
      <c r="A31" s="23">
        <f>'Participant_Metrics'!A31</f>
        <v/>
      </c>
      <c r="B31" s="23">
        <f>'Participant_Metrics'!B31</f>
        <v/>
      </c>
      <c r="C31" s="23">
        <f>'Participant_Metrics'!BX31</f>
        <v/>
      </c>
      <c r="D31" s="15">
        <f>'Participant_Metrics'!BY31</f>
        <v/>
      </c>
      <c r="E31" s="23">
        <f>'Participant_Metrics'!X31</f>
        <v/>
      </c>
      <c r="F31" s="23">
        <f>'Participant_Metrics'!AM31</f>
        <v/>
      </c>
      <c r="G31" s="23">
        <f>'Participant_Metrics'!CL31</f>
        <v/>
      </c>
      <c r="H31" s="23">
        <f>'Participant_Metrics'!CM31</f>
        <v/>
      </c>
    </row>
    <row r="32">
      <c r="A32" s="23">
        <f>'Participant_Metrics'!A32</f>
        <v/>
      </c>
      <c r="B32" s="23">
        <f>'Participant_Metrics'!B32</f>
        <v/>
      </c>
      <c r="C32" s="23">
        <f>'Participant_Metrics'!BX32</f>
        <v/>
      </c>
      <c r="D32" s="15">
        <f>'Participant_Metrics'!BY32</f>
        <v/>
      </c>
      <c r="E32" s="23">
        <f>'Participant_Metrics'!X32</f>
        <v/>
      </c>
      <c r="F32" s="23">
        <f>'Participant_Metrics'!AM32</f>
        <v/>
      </c>
      <c r="G32" s="23">
        <f>'Participant_Metrics'!CL32</f>
        <v/>
      </c>
      <c r="H32" s="23">
        <f>'Participant_Metrics'!CM32</f>
        <v/>
      </c>
    </row>
    <row r="33">
      <c r="A33" s="23">
        <f>'Participant_Metrics'!A33</f>
        <v/>
      </c>
      <c r="B33" s="23">
        <f>'Participant_Metrics'!B33</f>
        <v/>
      </c>
      <c r="C33" s="23">
        <f>'Participant_Metrics'!BX33</f>
        <v/>
      </c>
      <c r="D33" s="15">
        <f>'Participant_Metrics'!BY33</f>
        <v/>
      </c>
      <c r="E33" s="23">
        <f>'Participant_Metrics'!X33</f>
        <v/>
      </c>
      <c r="F33" s="23">
        <f>'Participant_Metrics'!AM33</f>
        <v/>
      </c>
      <c r="G33" s="23">
        <f>'Participant_Metrics'!CL33</f>
        <v/>
      </c>
      <c r="H33" s="23">
        <f>'Participant_Metrics'!CM33</f>
        <v/>
      </c>
    </row>
    <row r="34">
      <c r="A34" s="23">
        <f>'Participant_Metrics'!A34</f>
        <v/>
      </c>
      <c r="B34" s="23">
        <f>'Participant_Metrics'!B34</f>
        <v/>
      </c>
      <c r="C34" s="23">
        <f>'Participant_Metrics'!BX34</f>
        <v/>
      </c>
      <c r="D34" s="15">
        <f>'Participant_Metrics'!BY34</f>
        <v/>
      </c>
      <c r="E34" s="23">
        <f>'Participant_Metrics'!X34</f>
        <v/>
      </c>
      <c r="F34" s="23">
        <f>'Participant_Metrics'!AM34</f>
        <v/>
      </c>
      <c r="G34" s="23">
        <f>'Participant_Metrics'!CL34</f>
        <v/>
      </c>
      <c r="H34" s="23">
        <f>'Participant_Metrics'!CM34</f>
        <v/>
      </c>
    </row>
    <row r="35">
      <c r="A35" s="23">
        <f>'Participant_Metrics'!A35</f>
        <v/>
      </c>
      <c r="B35" s="23">
        <f>'Participant_Metrics'!B35</f>
        <v/>
      </c>
      <c r="C35" s="23">
        <f>'Participant_Metrics'!BX35</f>
        <v/>
      </c>
      <c r="D35" s="15">
        <f>'Participant_Metrics'!BY35</f>
        <v/>
      </c>
      <c r="E35" s="23">
        <f>'Participant_Metrics'!X35</f>
        <v/>
      </c>
      <c r="F35" s="23">
        <f>'Participant_Metrics'!AM35</f>
        <v/>
      </c>
      <c r="G35" s="23">
        <f>'Participant_Metrics'!CL35</f>
        <v/>
      </c>
      <c r="H35" s="23">
        <f>'Participant_Metrics'!CM35</f>
        <v/>
      </c>
    </row>
    <row r="39" ht="22" customHeight="1">
      <c r="A39" s="14" t="inlineStr">
        <is>
          <t>Summary checks</t>
        </is>
      </c>
      <c r="B39" s="3" t="n"/>
      <c r="C39" s="3" t="n"/>
      <c r="D39" s="4" t="n"/>
    </row>
    <row r="40">
      <c r="A40" s="38" t="inlineStr">
        <is>
          <t>Included participants</t>
        </is>
      </c>
      <c r="B40" s="39">
        <f>Cohort_Stats!D5</f>
        <v/>
      </c>
    </row>
    <row r="41">
      <c r="A41" s="38" t="inlineStr">
        <is>
          <t>Missing / excluded participants</t>
        </is>
      </c>
      <c r="B41" s="39">
        <f>30-B40</f>
        <v/>
      </c>
    </row>
    <row r="42">
      <c r="A42" s="38" t="inlineStr">
        <is>
          <t>Hypo burden increased</t>
        </is>
      </c>
      <c r="B42" s="39">
        <f>COUNTIF(F6:F35,"&gt;0")</f>
        <v/>
      </c>
    </row>
    <row r="43">
      <c r="A43" s="38" t="inlineStr">
        <is>
          <t>Composite responders</t>
        </is>
      </c>
      <c r="B43" s="39">
        <f>SUM(H6:H35)</f>
        <v/>
      </c>
    </row>
  </sheetData>
  <mergeCells count="2">
    <mergeCell ref="A1:G1"/>
    <mergeCell ref="A39:D39"/>
  </mergeCells>
  <conditionalFormatting sqref="E6:F35">
    <cfRule type="cellIs" priority="1" operator="greaterThan" dxfId="0">
      <formula>0</formula>
    </cfRule>
  </conditionalFormatting>
  <conditionalFormatting sqref="G6:H35">
    <cfRule type="cellIs" priority="2" operator="equal" dxfId="1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2026-05-30T23:59:46Z</dcterms:created>
  <dcterms:modified xsi:type="dcterms:W3CDTF">2026-05-31T12:47:01Z</dcterms:modified>
</cp:coreProperties>
</file>